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<sst xmlns="http://schemas.openxmlformats.org/spreadsheetml/2006/main" count="999" uniqueCount="168">
  <si>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</si>
  <si>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</si>
  <si>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</si>
  <si>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</si>
  <si>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</si>
  <si>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</si>
  <si>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</si>
  <si>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</si>
  <si>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</si>
  <si>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</si>
  <si>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</si>
  <si>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</si>
  <si>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</si>
  <si>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</si>
  <si>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</si>
  <si>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</si>
  <si>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</si>
  <si>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</si>
  <si>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</si>
  <si>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</si>
  <si>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</si>
  <si>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</si>
  <si>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</si>
  <si>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</si>
  <si>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</si>
  <si>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</si>
  <si>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</si>
  <si>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Amul Mithai Mate</t>
  </si>
  <si>
    <t>400 Gms</t>
  </si>
  <si>
    <t>*******</t>
  </si>
  <si>
    <t>India</t>
  </si>
  <si>
    <t>*************</t>
  </si>
  <si>
    <t>Nestle Sweetened Condensed Milkmaid Tin</t>
  </si>
  <si>
    <t>Hersheys Natural Unsweetened Cocoa</t>
  </si>
  <si>
    <t>70 Gms</t>
  </si>
  <si>
    <t>Harima Agar Agar Plain China Grass</t>
  </si>
  <si>
    <t>10 Gms</t>
  </si>
  <si>
    <t>Tiger Vanilla Food Essence</t>
  </si>
  <si>
    <t>20 Ml</t>
  </si>
  <si>
    <t>Classic Rose Milk Essence</t>
  </si>
  <si>
    <t>20 Gms</t>
  </si>
  <si>
    <t>LG Cake Asafoetida</t>
  </si>
  <si>
    <t>50 Gms</t>
  </si>
  <si>
    <t>LG Asafoetida Powder</t>
  </si>
  <si>
    <t>100 Gms</t>
  </si>
  <si>
    <t>Hershey's Natural Cocoa Powder</t>
  </si>
  <si>
    <t>225 Gms</t>
  </si>
  <si>
    <t>Pillsbury Eggless Moist Supreme Rich Choco Cake Mix</t>
  </si>
  <si>
    <t>270 Gms</t>
  </si>
  <si>
    <t>Veeba Caramel Fudge Topping</t>
  </si>
  <si>
    <t>380 Gms</t>
  </si>
  <si>
    <t>Bread Crumbs</t>
  </si>
  <si>
    <t>200 Gms</t>
  </si>
  <si>
    <t>Ajanta Baking Powder</t>
  </si>
  <si>
    <t>Iyya Desiccated Coconut Powder</t>
  </si>
  <si>
    <t>MTR Idli Dosa Chilli Chutney Powder</t>
  </si>
  <si>
    <t>Nirapara Idiyappam Podi</t>
  </si>
  <si>
    <t>500 Gms</t>
  </si>
  <si>
    <t>Nirapara White Puttu Podi</t>
  </si>
  <si>
    <t>Nirapara Ragi Puttu Podi</t>
  </si>
  <si>
    <t>Nirapara Avalose Podi</t>
  </si>
  <si>
    <t>Coconut Chutney Powder</t>
  </si>
  <si>
    <t>Mothers Recipe Lime Pickle</t>
  </si>
  <si>
    <t>300 Gms</t>
  </si>
  <si>
    <t>Mothers Recipe Mango Pickle Jar</t>
  </si>
  <si>
    <t>Mothers Recipe Red Stuffed Chilli Pickle</t>
  </si>
  <si>
    <t>Mothers Recipe Tomato Pickle</t>
  </si>
  <si>
    <t>Mother's Recipe Punjabi Tikka Mango Pickle</t>
  </si>
  <si>
    <t>Mothers Recipe Gujarati Shredded Sweet Mango Pickle Choondo</t>
  </si>
  <si>
    <t>350 Gms</t>
  </si>
  <si>
    <t>Mothers Recipe Kerala Vadu Mango Pickle</t>
  </si>
  <si>
    <t>Mambalam Iyers Cut Mango Pickle</t>
  </si>
  <si>
    <t>Mambalam Iyers Kalyana Mango Pickle</t>
  </si>
  <si>
    <t>Mambalam Iyers Lime Pickle</t>
  </si>
  <si>
    <t>Mambalam Iyers  Mango Thokku Pickle</t>
  </si>
  <si>
    <t>Mambalam Iyers Tomato Thokku Pickle</t>
  </si>
  <si>
    <t>Mambalam Iyers Amla Pickle</t>
  </si>
  <si>
    <t>Mambalam Iyers Avakkai Pickle</t>
  </si>
  <si>
    <t>Ruchi Garlic Pickle</t>
  </si>
  <si>
    <t>Mambalam Iyers Citron Pickle</t>
  </si>
  <si>
    <t>Mambalam Iyers Tomato Garlic Pickle</t>
  </si>
  <si>
    <t>Mambalam Iyers Narthangai Pickle</t>
  </si>
  <si>
    <t>Tiruvonam Prawans Pickle</t>
  </si>
  <si>
    <t>Narasus Garlic Pickle</t>
  </si>
  <si>
    <t>Narasus Sliced Mango Pickle</t>
  </si>
  <si>
    <t>Narasus Gooseberry Pickle</t>
  </si>
  <si>
    <t>Narasus Lime Pickle</t>
  </si>
  <si>
    <t>Kissan Mixed Fruit Jam Bottle</t>
  </si>
  <si>
    <t>Kissan Mixed Fruit Jam Box</t>
  </si>
  <si>
    <t>Kissan Mixed Fruit Jam</t>
  </si>
  <si>
    <t>Funfoods Pizza Topping</t>
  </si>
  <si>
    <t>325 Gms</t>
  </si>
  <si>
    <t>Veeba Chipotle Southwest Salad Dressing Bottle</t>
  </si>
  <si>
    <t>Veeba Ranch Dressing Bottle</t>
  </si>
  <si>
    <t>Veeba Caesar Salad Dressing Bottle</t>
  </si>
  <si>
    <t>Veeba Thousand Island Dressing Bottle</t>
  </si>
  <si>
    <t>Keya Italian Pizza Oregano</t>
  </si>
  <si>
    <t>80 Gms</t>
  </si>
  <si>
    <t>Veeba Harissa Dressing</t>
  </si>
  <si>
    <t>280 Gms</t>
  </si>
  <si>
    <t>Milagro Pizza Seasoning</t>
  </si>
  <si>
    <t>40 Gms</t>
  </si>
  <si>
    <t>Veeba White Pasta Dressing</t>
  </si>
  <si>
    <t>285 Gms</t>
  </si>
  <si>
    <t>Milagro Oregano Herbs</t>
  </si>
  <si>
    <t>15 Gms</t>
  </si>
  <si>
    <t>Milagro Pasta Seasoning</t>
  </si>
  <si>
    <t>Keya Italian Seasoning</t>
  </si>
  <si>
    <t>35 Gms</t>
  </si>
  <si>
    <t>Keya Pasta Seasoning</t>
  </si>
  <si>
    <t>45 Gms</t>
  </si>
  <si>
    <t>Keya Red Chilli Flakes</t>
  </si>
  <si>
    <t>Keya Pizza Seasoning</t>
  </si>
  <si>
    <t>Harissa Chilli Cumin Dressing</t>
  </si>
  <si>
    <t>Veeba Cheese &amp; Jalapeno Dip</t>
  </si>
  <si>
    <t>Veeba Garlic Chilli Spread &amp; Dip</t>
  </si>
  <si>
    <t>335 Gms</t>
  </si>
  <si>
    <t>Veeba Hot Garlic Stir Fry Sauce &amp; Dip</t>
  </si>
  <si>
    <t>330 Gms</t>
  </si>
  <si>
    <t>Del Monte Baked Beans In Sauce</t>
  </si>
  <si>
    <t>450 Gms</t>
  </si>
  <si>
    <t>Funfoods Pasta And Pizza Sauce</t>
  </si>
  <si>
    <t>Veeba Sriracha Sauce</t>
  </si>
  <si>
    <t>320 Gms</t>
  </si>
  <si>
    <t>Veeba Peri Peri Sauce</t>
  </si>
  <si>
    <t>Veeba Sweet Onion Sauce</t>
  </si>
  <si>
    <t>Barilla Arrabbiata Sauce</t>
  </si>
  <si>
    <t>Veeba Pasta N Pizza Sauce</t>
  </si>
  <si>
    <t>310 Gms</t>
  </si>
  <si>
    <t>Kissan Chilli Tomato Sauce</t>
  </si>
  <si>
    <t>Veeba Barbeque Sauce</t>
  </si>
  <si>
    <t>Veeba Sweet Chilli Sauce</t>
  </si>
  <si>
    <t>Veeba Chilli Oregano Sauce</t>
  </si>
  <si>
    <t>Veeba Makhani Gravy Sauce</t>
  </si>
  <si>
    <t>250 Gms</t>
  </si>
  <si>
    <t>Veeba Hot Sweet Tomato Chilli Sauce</t>
  </si>
  <si>
    <t>Druk Green Chilli Sauce</t>
  </si>
  <si>
    <t>Druk Dark Soya Sauce</t>
  </si>
  <si>
    <t>Druk Red Chilli Sauce</t>
  </si>
  <si>
    <t>Amul Garlic Cheese Spread</t>
  </si>
  <si>
    <t>Amul Lite Bread Spread</t>
  </si>
  <si>
    <t>Nutella Hazelnut Spread with Cocoa</t>
  </si>
  <si>
    <t>160 Gms</t>
  </si>
  <si>
    <t>Sundrop Peanut Butter Creamy Spread Bottle</t>
  </si>
  <si>
    <t>Sundrop Peanut Butter Crunchy Spread Bottle</t>
  </si>
  <si>
    <t>Hersheys Cocoa Spreads</t>
  </si>
  <si>
    <t>150 Gms</t>
  </si>
  <si>
    <t>Veeba Pizza Topping Spread</t>
  </si>
  <si>
    <t>Veeba Cheese &amp; Chilli Sandwich Spread</t>
  </si>
  <si>
    <t>275 Gms</t>
  </si>
  <si>
    <t>Amul Plain Cheese Spread</t>
  </si>
  <si>
    <t>Amul Spicy Garlic Cheese Spread</t>
  </si>
  <si>
    <t>Veeba Carrot &amp; Cucumber Sandwich Spread</t>
  </si>
  <si>
    <t>Amul Yummy Plain Cheese Spread</t>
  </si>
  <si>
    <t>Milky Mist Garlic Cheese Spread</t>
  </si>
  <si>
    <t>Milky Mist Pepper Cheese Spread</t>
  </si>
  <si>
    <t>Sundrop Creamy Peanut Butter Spread</t>
  </si>
  <si>
    <t>Sundrop Crunchy Peanut Butter Spread</t>
  </si>
  <si>
    <t>Nutella spread</t>
  </si>
  <si>
    <t>180 Gms</t>
  </si>
  <si>
    <t>Sundrop Honey Roasted Crunchy Peanut Butter Spread</t>
  </si>
  <si>
    <t>Hershey Spreads - Cocoa</t>
  </si>
  <si>
    <t>Milky Mist Tomato Cheese Spread</t>
  </si>
  <si>
    <t>Hershey's Cocoa with Almond Spread</t>
  </si>
  <si>
    <t>Sundrop Cocoa Nut Almond Chocolatey Spread</t>
  </si>
  <si>
    <t>Amul Creami Cheese Spread</t>
  </si>
  <si>
    <t>Milky Mist Plain Cheese Spread</t>
  </si>
  <si>
    <t>Lotus Biscoff Spread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</si>
</sst>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75" zoomScaleNormal="175" topLeftCell="A101" workbookViewId="0">
      <selection activeCell="B115" sqref="B108 B115"/>
    </sheetView>
  </sheetViews>
  <sheetFormatPr defaultColWidth="8.85185185185185" defaultRowHeight="14.4"/>
  <cols>
    <col min="1" max="1" width="8.22222222222222" customWidth="1"/>
    <col min="2" max="2" width="49.8796296296296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109">_xlfn.SEQUENCE(108,1,1,1)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FWTXYCDWLDPNWCR</v>
      </c>
      <c r="F2" s="8">
        <f t="shared" ref="F2:F65" si="0">141</f>
        <v>141</v>
      </c>
      <c r="G2" s="8">
        <f t="shared" ref="G2:G15" si="1">118</f>
        <v>118</v>
      </c>
      <c r="H2" s="10">
        <v>0</v>
      </c>
      <c r="I2" s="8" t="s">
        <v>28</v>
      </c>
      <c r="J2" s="13">
        <v>106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XSELCILTGEUHHMI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BAWDIHYOQGPAXRB</v>
      </c>
      <c r="F3" s="8">
        <f t="shared" si="0"/>
        <v>141</v>
      </c>
      <c r="G3" s="8">
        <f t="shared" si="1"/>
        <v>118</v>
      </c>
      <c r="H3" s="10">
        <v>0</v>
      </c>
      <c r="I3" s="8" t="s">
        <v>28</v>
      </c>
      <c r="J3" s="13">
        <v>125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HOUPZVSAHKCBGOF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ANNBTHUGMTBEWBR</v>
      </c>
      <c r="F4" s="8">
        <f t="shared" si="0"/>
        <v>141</v>
      </c>
      <c r="G4" s="8">
        <f t="shared" si="1"/>
        <v>118</v>
      </c>
      <c r="H4" s="10">
        <v>0</v>
      </c>
      <c r="I4" s="8" t="s">
        <v>34</v>
      </c>
      <c r="J4" s="13">
        <v>95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SJUURRQMFIADUKB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AATDUQVBOXECLLP</v>
      </c>
      <c r="F5" s="8">
        <f t="shared" si="0"/>
        <v>141</v>
      </c>
      <c r="G5" s="8">
        <f t="shared" si="1"/>
        <v>118</v>
      </c>
      <c r="H5" s="10">
        <v>0</v>
      </c>
      <c r="I5" s="8" t="s">
        <v>36</v>
      </c>
      <c r="J5" s="13">
        <v>45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MNLRQQHEHVMCCSB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37</v>
      </c>
      <c r="C6" s="9">
        <v>1</v>
      </c>
      <c r="D6" s="9">
        <v>1</v>
      </c>
      <c r="E6" s="8" t="str" cm="1">
        <f ca="1" t="array" ref="E6">_xlfn.TEXTJOIN("",TRUE,CHAR(RANDBETWEEN(65,90+0*_xlfn.SEQUENCE(15))))</f>
        <v>UAIUJHNIAYHSVYP</v>
      </c>
      <c r="F6" s="8">
        <f t="shared" si="0"/>
        <v>141</v>
      </c>
      <c r="G6" s="8">
        <f t="shared" si="1"/>
        <v>118</v>
      </c>
      <c r="H6" s="10">
        <v>0</v>
      </c>
      <c r="I6" s="8" t="s">
        <v>38</v>
      </c>
      <c r="J6" s="13">
        <v>31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WPPETDPNALQGART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39</v>
      </c>
      <c r="C7" s="9">
        <v>1</v>
      </c>
      <c r="D7" s="9">
        <v>1</v>
      </c>
      <c r="E7" s="8" t="str" cm="1">
        <f ca="1" t="array" ref="E7">_xlfn.TEXTJOIN("",TRUE,CHAR(RANDBETWEEN(65,90+0*_xlfn.SEQUENCE(15))))</f>
        <v>WGBUXYBXWULELIR</v>
      </c>
      <c r="F7" s="8">
        <f t="shared" si="0"/>
        <v>141</v>
      </c>
      <c r="G7" s="8">
        <f t="shared" si="1"/>
        <v>118</v>
      </c>
      <c r="H7" s="10">
        <v>0</v>
      </c>
      <c r="I7" s="8" t="s">
        <v>40</v>
      </c>
      <c r="J7" s="13">
        <v>27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CERMZKXIKVWMCIZ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41</v>
      </c>
      <c r="C8" s="9">
        <v>1</v>
      </c>
      <c r="D8" s="9">
        <v>1</v>
      </c>
      <c r="E8" s="8" t="str" cm="1">
        <f ca="1" t="array" ref="E8">_xlfn.TEXTJOIN("",TRUE,CHAR(RANDBETWEEN(65,90+0*_xlfn.SEQUENCE(15))))</f>
        <v>RBATUFKRCERQUJY</v>
      </c>
      <c r="F8" s="8">
        <f t="shared" si="0"/>
        <v>141</v>
      </c>
      <c r="G8" s="8">
        <f t="shared" si="1"/>
        <v>118</v>
      </c>
      <c r="H8" s="10">
        <v>0</v>
      </c>
      <c r="I8" s="8" t="s">
        <v>42</v>
      </c>
      <c r="J8" s="13">
        <v>78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GNLPKTZZUKCYIPM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43</v>
      </c>
      <c r="C9" s="9">
        <v>1</v>
      </c>
      <c r="D9" s="9">
        <v>1</v>
      </c>
      <c r="E9" s="8" t="str" cm="1">
        <f ca="1" t="array" ref="E9">_xlfn.TEXTJOIN("",TRUE,CHAR(RANDBETWEEN(65,90+0*_xlfn.SEQUENCE(15))))</f>
        <v>AXKJHHJQQEPFHHM</v>
      </c>
      <c r="F9" s="8">
        <f t="shared" si="0"/>
        <v>141</v>
      </c>
      <c r="G9" s="8">
        <f t="shared" si="1"/>
        <v>118</v>
      </c>
      <c r="H9" s="10">
        <v>0</v>
      </c>
      <c r="I9" s="8" t="s">
        <v>44</v>
      </c>
      <c r="J9" s="13">
        <v>147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OQYUAZNGEPLGTJZ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45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SUBQRXJYUVVEQEH</v>
      </c>
      <c r="F10" s="8">
        <f t="shared" si="0"/>
        <v>141</v>
      </c>
      <c r="G10" s="8">
        <f t="shared" si="1"/>
        <v>118</v>
      </c>
      <c r="H10" s="10">
        <v>0</v>
      </c>
      <c r="I10" s="8" t="s">
        <v>46</v>
      </c>
      <c r="J10" s="13">
        <v>810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ATLVEETOXVDLTRA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47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AJRTEDEEIVWDQAQ</v>
      </c>
      <c r="F11" s="8">
        <f t="shared" si="0"/>
        <v>141</v>
      </c>
      <c r="G11" s="8">
        <f t="shared" si="1"/>
        <v>118</v>
      </c>
      <c r="H11" s="10">
        <v>0</v>
      </c>
      <c r="I11" s="8" t="s">
        <v>48</v>
      </c>
      <c r="J11" s="13">
        <v>170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SDZIPTQGZFOPFJL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49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FNFGRXLDTPKRZHJ</v>
      </c>
      <c r="F12" s="8">
        <f t="shared" si="0"/>
        <v>141</v>
      </c>
      <c r="G12" s="8">
        <f t="shared" si="1"/>
        <v>118</v>
      </c>
      <c r="H12" s="10">
        <v>0</v>
      </c>
      <c r="I12" s="8" t="s">
        <v>50</v>
      </c>
      <c r="J12" s="13">
        <v>159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ZMFQJFQDNMRQSMQ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51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LNGCMDXMVVBSLNF</v>
      </c>
      <c r="F13" s="8">
        <f t="shared" si="0"/>
        <v>141</v>
      </c>
      <c r="G13" s="8">
        <f t="shared" si="1"/>
        <v>118</v>
      </c>
      <c r="H13" s="10">
        <v>0</v>
      </c>
      <c r="I13" s="8" t="s">
        <v>52</v>
      </c>
      <c r="J13" s="13">
        <v>16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ERJXUTZILHPSWAC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53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QGJDADGVRLWLCYX</v>
      </c>
      <c r="F14" s="8">
        <f t="shared" si="0"/>
        <v>141</v>
      </c>
      <c r="G14" s="8">
        <f t="shared" si="1"/>
        <v>118</v>
      </c>
      <c r="H14" s="10">
        <v>0</v>
      </c>
      <c r="I14" s="8" t="s">
        <v>44</v>
      </c>
      <c r="J14" s="13">
        <v>24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MMTLXZDHEMACMIE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54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GWFNPFJZJDEDNSG</v>
      </c>
      <c r="F15" s="8">
        <f t="shared" si="0"/>
        <v>141</v>
      </c>
      <c r="G15" s="8">
        <f t="shared" si="1"/>
        <v>118</v>
      </c>
      <c r="H15" s="10">
        <v>0</v>
      </c>
      <c r="I15" s="8" t="s">
        <v>44</v>
      </c>
      <c r="J15" s="13">
        <v>74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LLDWMIICUYUIDSM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55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XTYADRHZBGCTYLX</v>
      </c>
      <c r="F16" s="8">
        <f t="shared" si="0"/>
        <v>141</v>
      </c>
      <c r="G16" s="8">
        <v>119</v>
      </c>
      <c r="H16" s="10">
        <v>0</v>
      </c>
      <c r="I16" s="8" t="s">
        <v>52</v>
      </c>
      <c r="J16" s="13">
        <v>115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WDDBPEDUNGMRDYM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56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AXBSVNHNRIUZRXQ</v>
      </c>
      <c r="F17" s="8">
        <f t="shared" si="0"/>
        <v>141</v>
      </c>
      <c r="G17" s="8">
        <v>119</v>
      </c>
      <c r="H17" s="10">
        <v>0</v>
      </c>
      <c r="I17" s="8" t="s">
        <v>57</v>
      </c>
      <c r="J17" s="13">
        <v>53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LXOCOHBNLWMXCEG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58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CIWZLVLDIEBRMRR</v>
      </c>
      <c r="F18" s="8">
        <f t="shared" si="0"/>
        <v>141</v>
      </c>
      <c r="G18" s="8">
        <v>119</v>
      </c>
      <c r="H18" s="10">
        <v>0</v>
      </c>
      <c r="I18" s="8" t="s">
        <v>57</v>
      </c>
      <c r="J18" s="13">
        <v>53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HOSWOVETZBSJJOB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59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LVLFCEVTTWIRSLV</v>
      </c>
      <c r="F19" s="8">
        <f t="shared" si="0"/>
        <v>141</v>
      </c>
      <c r="G19" s="8">
        <v>119</v>
      </c>
      <c r="H19" s="10">
        <v>0</v>
      </c>
      <c r="I19" s="8" t="s">
        <v>57</v>
      </c>
      <c r="J19" s="13">
        <v>68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JSQAFSUTWCKLPNX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60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RTWIDIIZQDRRYPT</v>
      </c>
      <c r="F20" s="8">
        <f t="shared" si="0"/>
        <v>141</v>
      </c>
      <c r="G20" s="8">
        <v>119</v>
      </c>
      <c r="H20" s="10">
        <v>0</v>
      </c>
      <c r="I20" s="8" t="s">
        <v>57</v>
      </c>
      <c r="J20" s="13">
        <v>138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TRXNKHIXDJRAMZY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61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KTZZLRLKVTMGEFB</v>
      </c>
      <c r="F21" s="8">
        <f t="shared" si="0"/>
        <v>141</v>
      </c>
      <c r="G21" s="8">
        <v>119</v>
      </c>
      <c r="H21" s="10">
        <v>0</v>
      </c>
      <c r="I21" s="8" t="s">
        <v>44</v>
      </c>
      <c r="J21" s="13">
        <v>85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NMLHSDBIAKZRBPJ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62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DCFRBMGKZDIBRYA</v>
      </c>
      <c r="F22" s="8">
        <f t="shared" si="0"/>
        <v>141</v>
      </c>
      <c r="G22" s="8">
        <f t="shared" ref="G22:G44" si="2">120</f>
        <v>120</v>
      </c>
      <c r="H22" s="10">
        <v>0</v>
      </c>
      <c r="I22" s="8" t="s">
        <v>63</v>
      </c>
      <c r="J22" s="13">
        <v>90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SZZYZESSOTBFIGS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64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MQWUFUXSTSSHLKJ</v>
      </c>
      <c r="F23" s="8">
        <f t="shared" si="0"/>
        <v>141</v>
      </c>
      <c r="G23" s="8">
        <f t="shared" si="2"/>
        <v>120</v>
      </c>
      <c r="H23" s="10">
        <v>0</v>
      </c>
      <c r="I23" s="8" t="s">
        <v>63</v>
      </c>
      <c r="J23" s="13">
        <v>85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TQIMYIZRVSGPSBY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65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TYYWWOFZGIJJWUF</v>
      </c>
      <c r="F24" s="8">
        <f t="shared" si="0"/>
        <v>141</v>
      </c>
      <c r="G24" s="8">
        <f t="shared" si="2"/>
        <v>120</v>
      </c>
      <c r="H24" s="10">
        <v>0</v>
      </c>
      <c r="I24" s="8" t="s">
        <v>28</v>
      </c>
      <c r="J24" s="13">
        <v>115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KXFLYHDPZASUZSL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66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UPLLUKMYJNHXBMD</v>
      </c>
      <c r="F25" s="8">
        <f t="shared" si="0"/>
        <v>141</v>
      </c>
      <c r="G25" s="8">
        <f t="shared" si="2"/>
        <v>120</v>
      </c>
      <c r="H25" s="10">
        <v>0</v>
      </c>
      <c r="I25" s="8" t="s">
        <v>63</v>
      </c>
      <c r="J25" s="13">
        <v>90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SXJWBKURBMCXOZU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67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XIJLUSYMXUOMFQK</v>
      </c>
      <c r="F26" s="8">
        <f t="shared" si="0"/>
        <v>141</v>
      </c>
      <c r="G26" s="8">
        <f t="shared" si="2"/>
        <v>120</v>
      </c>
      <c r="H26" s="10">
        <v>0</v>
      </c>
      <c r="I26" s="8" t="s">
        <v>28</v>
      </c>
      <c r="J26" s="13">
        <v>110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EKCGAXTHZGTGGXO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68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KTEPLCWGRVPYCZQ</v>
      </c>
      <c r="F27" s="8">
        <f t="shared" si="0"/>
        <v>141</v>
      </c>
      <c r="G27" s="8">
        <f t="shared" si="2"/>
        <v>120</v>
      </c>
      <c r="H27" s="10">
        <v>0</v>
      </c>
      <c r="I27" s="8" t="s">
        <v>69</v>
      </c>
      <c r="J27" s="13">
        <v>97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YOLHILMVIKNNZNA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70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MBOBOPTLLUVAKKU</v>
      </c>
      <c r="F28" s="8">
        <f t="shared" si="0"/>
        <v>141</v>
      </c>
      <c r="G28" s="8">
        <f t="shared" si="2"/>
        <v>120</v>
      </c>
      <c r="H28" s="10">
        <v>0</v>
      </c>
      <c r="I28" s="8" t="s">
        <v>63</v>
      </c>
      <c r="J28" s="13">
        <v>125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DPSPCXTXMKGKQRN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71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UNGVZTQAAMTXJXM</v>
      </c>
      <c r="F29" s="8">
        <f t="shared" si="0"/>
        <v>141</v>
      </c>
      <c r="G29" s="8">
        <f t="shared" si="2"/>
        <v>120</v>
      </c>
      <c r="H29" s="10">
        <v>0</v>
      </c>
      <c r="I29" s="8" t="s">
        <v>52</v>
      </c>
      <c r="J29" s="13">
        <v>55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SGYEJLZJJCZXKLN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72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TEUTALYYVLFECUW</v>
      </c>
      <c r="F30" s="8">
        <f t="shared" si="0"/>
        <v>141</v>
      </c>
      <c r="G30" s="8">
        <f t="shared" si="2"/>
        <v>120</v>
      </c>
      <c r="H30" s="10">
        <v>0</v>
      </c>
      <c r="I30" s="8" t="s">
        <v>52</v>
      </c>
      <c r="J30" s="13">
        <v>55</v>
      </c>
      <c r="K30" s="10">
        <v>0</v>
      </c>
      <c r="L30" s="10">
        <v>10</v>
      </c>
      <c r="M30" s="10">
        <v>1</v>
      </c>
      <c r="N30" s="14">
        <v>10000200</v>
      </c>
      <c r="O30" s="15" t="str" cm="1">
        <f ca="1" t="array" ref="O30">_xlfn.TEXTJOIN("",TRUE,CHAR(RANDBETWEEN(65,90+0*_xlfn.SEQUENCE(15))))</f>
        <v>QGBFONIWVJIFVRF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73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WCYGUAESSPFPLED</v>
      </c>
      <c r="F31" s="8">
        <f t="shared" si="0"/>
        <v>141</v>
      </c>
      <c r="G31" s="8">
        <f t="shared" si="2"/>
        <v>120</v>
      </c>
      <c r="H31" s="10">
        <v>0</v>
      </c>
      <c r="I31" s="8" t="s">
        <v>52</v>
      </c>
      <c r="J31" s="13">
        <v>55</v>
      </c>
      <c r="K31" s="10">
        <v>0</v>
      </c>
      <c r="L31" s="10">
        <v>10</v>
      </c>
      <c r="M31" s="10">
        <v>1</v>
      </c>
      <c r="N31" s="14">
        <v>40021628</v>
      </c>
      <c r="O31" s="15" t="str" cm="1">
        <f ca="1" t="array" ref="O31">_xlfn.TEXTJOIN("",TRUE,CHAR(RANDBETWEEN(65,90+0*_xlfn.SEQUENCE(15))))</f>
        <v>BOASRYTLSALCRXM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74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AYFLZZYYFSNMQQU</v>
      </c>
      <c r="F32" s="8">
        <f t="shared" si="0"/>
        <v>141</v>
      </c>
      <c r="G32" s="8">
        <f t="shared" si="2"/>
        <v>120</v>
      </c>
      <c r="H32" s="10">
        <v>0</v>
      </c>
      <c r="I32" s="8" t="s">
        <v>52</v>
      </c>
      <c r="J32" s="13">
        <v>55</v>
      </c>
      <c r="K32" s="10">
        <v>0</v>
      </c>
      <c r="L32" s="10">
        <v>5</v>
      </c>
      <c r="M32" s="10">
        <v>1</v>
      </c>
      <c r="N32" s="14">
        <v>10000148</v>
      </c>
      <c r="O32" s="15" t="str" cm="1">
        <f ca="1" t="array" ref="O32">_xlfn.TEXTJOIN("",TRUE,CHAR(RANDBETWEEN(65,90+0*_xlfn.SEQUENCE(15))))</f>
        <v>GLJQYSFYHEGDWSU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75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UQDONQNTQDOZVSM</v>
      </c>
      <c r="F33" s="8">
        <f t="shared" si="0"/>
        <v>141</v>
      </c>
      <c r="G33" s="8">
        <f t="shared" si="2"/>
        <v>120</v>
      </c>
      <c r="H33" s="10">
        <v>0</v>
      </c>
      <c r="I33" s="8" t="s">
        <v>52</v>
      </c>
      <c r="J33" s="13">
        <v>67</v>
      </c>
      <c r="K33" s="10">
        <v>0</v>
      </c>
      <c r="L33" s="10">
        <v>5</v>
      </c>
      <c r="M33" s="10">
        <v>1</v>
      </c>
      <c r="N33" s="14">
        <v>10000159</v>
      </c>
      <c r="O33" s="15" t="str" cm="1">
        <f ca="1" t="array" ref="O33">_xlfn.TEXTJOIN("",TRUE,CHAR(RANDBETWEEN(65,90+0*_xlfn.SEQUENCE(15))))</f>
        <v>BWITPIKODOUFPJF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76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EYQRXDKVHOFCYZS</v>
      </c>
      <c r="F34" s="8">
        <f t="shared" si="0"/>
        <v>141</v>
      </c>
      <c r="G34" s="8">
        <f t="shared" si="2"/>
        <v>120</v>
      </c>
      <c r="H34" s="10">
        <v>0</v>
      </c>
      <c r="I34" s="8" t="s">
        <v>52</v>
      </c>
      <c r="J34" s="13">
        <v>62</v>
      </c>
      <c r="K34" s="10">
        <v>0</v>
      </c>
      <c r="L34" s="10">
        <v>5</v>
      </c>
      <c r="M34" s="10">
        <v>1</v>
      </c>
      <c r="N34" s="14">
        <v>10000148</v>
      </c>
      <c r="O34" s="15" t="str" cm="1">
        <f ca="1" t="array" ref="O34">_xlfn.TEXTJOIN("",TRUE,CHAR(RANDBETWEEN(65,90+0*_xlfn.SEQUENCE(15))))</f>
        <v>OJHALIBAGSMSDTI</v>
      </c>
      <c r="P34" s="16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77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CWVLQTNQQADCLTC</v>
      </c>
      <c r="F35" s="8">
        <f t="shared" si="0"/>
        <v>141</v>
      </c>
      <c r="G35" s="8">
        <f t="shared" si="2"/>
        <v>120</v>
      </c>
      <c r="H35" s="10">
        <v>0</v>
      </c>
      <c r="I35" s="8" t="s">
        <v>52</v>
      </c>
      <c r="J35" s="13">
        <v>57</v>
      </c>
      <c r="K35" s="10">
        <v>0</v>
      </c>
      <c r="L35" s="10">
        <v>5</v>
      </c>
      <c r="M35" s="10">
        <v>1</v>
      </c>
      <c r="N35" s="14">
        <v>10000159</v>
      </c>
      <c r="O35" s="15" t="str" cm="1">
        <f ca="1" t="array" ref="O35">_xlfn.TEXTJOIN("",TRUE,CHAR(RANDBETWEEN(65,90+0*_xlfn.SEQUENCE(15))))</f>
        <v>YMHUZOYJBNBJNFD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78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NXYSLPDTJWCRGAZ</v>
      </c>
      <c r="F36" s="8">
        <f t="shared" si="0"/>
        <v>141</v>
      </c>
      <c r="G36" s="8">
        <f t="shared" si="2"/>
        <v>120</v>
      </c>
      <c r="H36" s="10">
        <v>0</v>
      </c>
      <c r="I36" s="8" t="s">
        <v>63</v>
      </c>
      <c r="J36" s="13">
        <v>90</v>
      </c>
      <c r="K36" s="10">
        <v>1</v>
      </c>
      <c r="L36" s="10">
        <v>20</v>
      </c>
      <c r="M36" s="10">
        <v>1</v>
      </c>
      <c r="N36" s="14">
        <v>10000194</v>
      </c>
      <c r="O36" s="15" t="str" cm="1">
        <f ca="1" t="array" ref="O36">_xlfn.TEXTJOIN("",TRUE,CHAR(RANDBETWEEN(65,90+0*_xlfn.SEQUENCE(15))))</f>
        <v>GKSTJWBTILJYYXZ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79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FOMNHEFAQVFUOUE</v>
      </c>
      <c r="F37" s="8">
        <f t="shared" si="0"/>
        <v>141</v>
      </c>
      <c r="G37" s="8">
        <f t="shared" si="2"/>
        <v>120</v>
      </c>
      <c r="H37" s="10">
        <v>0</v>
      </c>
      <c r="I37" s="8" t="s">
        <v>52</v>
      </c>
      <c r="J37" s="13">
        <v>55</v>
      </c>
      <c r="K37" s="10">
        <v>1</v>
      </c>
      <c r="L37" s="10">
        <v>10</v>
      </c>
      <c r="M37" s="10">
        <v>1</v>
      </c>
      <c r="N37" s="14">
        <v>10000148</v>
      </c>
      <c r="O37" s="15" t="str" cm="1">
        <f ca="1" t="array" ref="O37">_xlfn.TEXTJOIN("",TRUE,CHAR(RANDBETWEEN(65,90+0*_xlfn.SEQUENCE(15))))</f>
        <v>VASHCBBCBTSPGMH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80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UZJOGIVCFSHVDLT</v>
      </c>
      <c r="F38" s="8">
        <f t="shared" si="0"/>
        <v>141</v>
      </c>
      <c r="G38" s="8">
        <f t="shared" si="2"/>
        <v>120</v>
      </c>
      <c r="H38" s="10">
        <v>0</v>
      </c>
      <c r="I38" s="8" t="s">
        <v>52</v>
      </c>
      <c r="J38" s="13">
        <v>75</v>
      </c>
      <c r="K38" s="10">
        <v>1</v>
      </c>
      <c r="L38" s="10">
        <v>10</v>
      </c>
      <c r="M38" s="10">
        <v>1</v>
      </c>
      <c r="N38" s="14">
        <v>10000159</v>
      </c>
      <c r="O38" s="15" t="str" cm="1">
        <f ca="1" t="array" ref="O38">_xlfn.TEXTJOIN("",TRUE,CHAR(RANDBETWEEN(65,90+0*_xlfn.SEQUENCE(15))))</f>
        <v>CPPREURROFWXGGM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81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GBKUVULZRPSMYKP</v>
      </c>
      <c r="F39" s="8">
        <f t="shared" si="0"/>
        <v>141</v>
      </c>
      <c r="G39" s="8">
        <f t="shared" si="2"/>
        <v>120</v>
      </c>
      <c r="H39" s="10">
        <v>0</v>
      </c>
      <c r="I39" s="8" t="s">
        <v>52</v>
      </c>
      <c r="J39" s="13">
        <v>55</v>
      </c>
      <c r="K39" s="10">
        <v>0</v>
      </c>
      <c r="L39" s="10">
        <v>10</v>
      </c>
      <c r="M39" s="10">
        <v>1</v>
      </c>
      <c r="N39" s="14">
        <v>10000194</v>
      </c>
      <c r="O39" s="15" t="str" cm="1">
        <f ca="1" t="array" ref="O39">_xlfn.TEXTJOIN("",TRUE,CHAR(RANDBETWEEN(65,90+0*_xlfn.SEQUENCE(15))))</f>
        <v>PNZWIUKVVIAXVGF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82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TCFEIKRBKZPUFYB</v>
      </c>
      <c r="F40" s="8">
        <f t="shared" si="0"/>
        <v>141</v>
      </c>
      <c r="G40" s="8">
        <f t="shared" si="2"/>
        <v>120</v>
      </c>
      <c r="H40" s="10">
        <v>0</v>
      </c>
      <c r="I40" s="8" t="s">
        <v>28</v>
      </c>
      <c r="J40" s="13">
        <v>230</v>
      </c>
      <c r="K40" s="10">
        <v>0</v>
      </c>
      <c r="L40" s="10">
        <v>10</v>
      </c>
      <c r="M40" s="10">
        <v>1</v>
      </c>
      <c r="N40" s="14">
        <v>40021628</v>
      </c>
      <c r="O40" s="15" t="str" cm="1">
        <f ca="1" t="array" ref="O40">_xlfn.TEXTJOIN("",TRUE,CHAR(RANDBETWEEN(65,90+0*_xlfn.SEQUENCE(15))))</f>
        <v>EWWQVHVJEQBXIDL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83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HJHRLKQPYYXCEEY</v>
      </c>
      <c r="F41" s="8">
        <f t="shared" si="0"/>
        <v>141</v>
      </c>
      <c r="G41" s="8">
        <f t="shared" si="2"/>
        <v>120</v>
      </c>
      <c r="H41" s="10">
        <v>0</v>
      </c>
      <c r="I41" s="8" t="s">
        <v>52</v>
      </c>
      <c r="J41" s="13">
        <v>72</v>
      </c>
      <c r="K41" s="10">
        <v>0</v>
      </c>
      <c r="L41" s="10">
        <v>5</v>
      </c>
      <c r="M41" s="10">
        <v>1</v>
      </c>
      <c r="N41" s="14">
        <v>10000148</v>
      </c>
      <c r="O41" s="15" t="str" cm="1">
        <f ca="1" t="array" ref="O41">_xlfn.TEXTJOIN("",TRUE,CHAR(RANDBETWEEN(65,90+0*_xlfn.SEQUENCE(15))))</f>
        <v>ITPQMUFLEDNEBFP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84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OWFFOIASGYAGEVT</v>
      </c>
      <c r="F42" s="8">
        <f t="shared" si="0"/>
        <v>141</v>
      </c>
      <c r="G42" s="8">
        <f t="shared" si="2"/>
        <v>120</v>
      </c>
      <c r="H42" s="10">
        <v>0</v>
      </c>
      <c r="I42" s="8" t="s">
        <v>52</v>
      </c>
      <c r="J42" s="13">
        <v>51</v>
      </c>
      <c r="K42" s="10">
        <v>0</v>
      </c>
      <c r="L42" s="10">
        <v>5</v>
      </c>
      <c r="M42" s="10">
        <v>1</v>
      </c>
      <c r="N42" s="14">
        <v>10000159</v>
      </c>
      <c r="O42" s="15" t="str" cm="1">
        <f ca="1" t="array" ref="O42">_xlfn.TEXTJOIN("",TRUE,CHAR(RANDBETWEEN(65,90+0*_xlfn.SEQUENCE(15))))</f>
        <v>DTRXMQYHMVBHRLZ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85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GLYQIMBFAVQGJSK</v>
      </c>
      <c r="F43" s="8">
        <f t="shared" si="0"/>
        <v>141</v>
      </c>
      <c r="G43" s="8">
        <f t="shared" si="2"/>
        <v>120</v>
      </c>
      <c r="H43" s="10">
        <v>0</v>
      </c>
      <c r="I43" s="8" t="s">
        <v>52</v>
      </c>
      <c r="J43" s="13">
        <v>51</v>
      </c>
      <c r="K43" s="10">
        <v>0</v>
      </c>
      <c r="L43" s="10">
        <v>5</v>
      </c>
      <c r="M43" s="10">
        <v>1</v>
      </c>
      <c r="N43" s="14">
        <v>10000194</v>
      </c>
      <c r="O43" s="15" t="str" cm="1">
        <f ca="1" t="array" ref="O43">_xlfn.TEXTJOIN("",TRUE,CHAR(RANDBETWEEN(65,90+0*_xlfn.SEQUENCE(15))))</f>
        <v>YTJTJNVAMHCNEOE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86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WENKBBMVGGLDJRT</v>
      </c>
      <c r="F44" s="8">
        <f t="shared" si="0"/>
        <v>141</v>
      </c>
      <c r="G44" s="8">
        <f t="shared" si="2"/>
        <v>120</v>
      </c>
      <c r="H44" s="10">
        <v>0</v>
      </c>
      <c r="I44" s="8" t="s">
        <v>52</v>
      </c>
      <c r="J44" s="13">
        <v>55</v>
      </c>
      <c r="K44" s="10">
        <v>0</v>
      </c>
      <c r="L44" s="10">
        <v>5</v>
      </c>
      <c r="M44" s="10">
        <v>1</v>
      </c>
      <c r="N44" s="14">
        <v>10000148</v>
      </c>
      <c r="O44" s="15" t="str" cm="1">
        <f ca="1" t="array" ref="O44">_xlfn.TEXTJOIN("",TRUE,CHAR(RANDBETWEEN(65,90+0*_xlfn.SEQUENCE(15))))</f>
        <v>JUYCLGMMZATEHHO</v>
      </c>
      <c r="P44" s="16">
        <v>1</v>
      </c>
      <c r="Q44" s="2" t="s">
        <v>29</v>
      </c>
      <c r="R44" s="2" t="s">
        <v>30</v>
      </c>
      <c r="S44" s="8">
        <v>1</v>
      </c>
      <c r="T44" s="8">
        <v>1</v>
      </c>
      <c r="U44" s="8">
        <v>1</v>
      </c>
      <c r="V44" s="8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87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SBREMDCHIDWVTZO</v>
      </c>
      <c r="F45" s="8">
        <f t="shared" si="0"/>
        <v>141</v>
      </c>
      <c r="G45" s="8">
        <v>117</v>
      </c>
      <c r="H45" s="10">
        <v>0</v>
      </c>
      <c r="I45" s="8" t="s">
        <v>52</v>
      </c>
      <c r="J45" s="13">
        <v>62</v>
      </c>
      <c r="K45" s="10">
        <v>0</v>
      </c>
      <c r="L45" s="10">
        <v>5</v>
      </c>
      <c r="M45" s="10">
        <v>1</v>
      </c>
      <c r="N45" s="14">
        <v>10000159</v>
      </c>
      <c r="O45" s="15" t="str" cm="1">
        <f ca="1" t="array" ref="O45">_xlfn.TEXTJOIN("",TRUE,CHAR(RANDBETWEEN(65,90+0*_xlfn.SEQUENCE(15))))</f>
        <v>TSGJKSLTDWYSAKB</v>
      </c>
      <c r="P45" s="16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88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TZBCQAUZIWYMEWT</v>
      </c>
      <c r="F46" s="8">
        <f t="shared" si="0"/>
        <v>141</v>
      </c>
      <c r="G46" s="8">
        <v>117</v>
      </c>
      <c r="H46" s="10">
        <v>0</v>
      </c>
      <c r="I46" s="8" t="s">
        <v>44</v>
      </c>
      <c r="J46" s="13">
        <v>20</v>
      </c>
      <c r="K46" s="10">
        <v>0</v>
      </c>
      <c r="L46" s="10">
        <v>10</v>
      </c>
      <c r="M46" s="10">
        <v>1</v>
      </c>
      <c r="N46" s="14">
        <v>10000194</v>
      </c>
      <c r="O46" s="15" t="str" cm="1">
        <f ca="1" t="array" ref="O46">_xlfn.TEXTJOIN("",TRUE,CHAR(RANDBETWEEN(65,90+0*_xlfn.SEQUENCE(15))))</f>
        <v>HGYFEQUSECBIRMR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89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QZZOMZKHFYUOHZN</v>
      </c>
      <c r="F47" s="8">
        <f t="shared" si="0"/>
        <v>141</v>
      </c>
      <c r="G47" s="8">
        <v>117</v>
      </c>
      <c r="H47" s="10">
        <v>0</v>
      </c>
      <c r="I47" s="8" t="s">
        <v>52</v>
      </c>
      <c r="J47" s="13">
        <v>65</v>
      </c>
      <c r="K47" s="10">
        <v>2</v>
      </c>
      <c r="L47" s="10">
        <v>20</v>
      </c>
      <c r="M47" s="10">
        <v>1</v>
      </c>
      <c r="N47" s="14">
        <v>10000200</v>
      </c>
      <c r="O47" s="15" t="str" cm="1">
        <f ca="1" t="array" ref="O47">_xlfn.TEXTJOIN("",TRUE,CHAR(RANDBETWEEN(65,90+0*_xlfn.SEQUENCE(15))))</f>
        <v>TRSFRZPHKZNRMRY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90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IFDKKMQVHOHUBUR</v>
      </c>
      <c r="F48" s="8">
        <f t="shared" si="0"/>
        <v>141</v>
      </c>
      <c r="G48" s="8">
        <f t="shared" ref="G48:G63" si="3">124</f>
        <v>124</v>
      </c>
      <c r="H48" s="10">
        <v>0</v>
      </c>
      <c r="I48" s="8" t="s">
        <v>91</v>
      </c>
      <c r="J48" s="13">
        <v>85</v>
      </c>
      <c r="K48" s="10">
        <v>2</v>
      </c>
      <c r="L48" s="10">
        <v>20</v>
      </c>
      <c r="M48" s="10">
        <v>1</v>
      </c>
      <c r="N48" s="14">
        <v>40021628</v>
      </c>
      <c r="O48" s="15" t="str" cm="1">
        <f ca="1" t="array" ref="O48">_xlfn.TEXTJOIN("",TRUE,CHAR(RANDBETWEEN(65,90+0*_xlfn.SEQUENCE(15))))</f>
        <v>DFYDNXDEOFKRPDJ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92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LKKSVGQSBCHKEQM</v>
      </c>
      <c r="F49" s="8">
        <f t="shared" si="0"/>
        <v>141</v>
      </c>
      <c r="G49" s="8">
        <f t="shared" si="3"/>
        <v>124</v>
      </c>
      <c r="H49" s="10">
        <v>0</v>
      </c>
      <c r="I49" s="8" t="s">
        <v>63</v>
      </c>
      <c r="J49" s="13">
        <v>149</v>
      </c>
      <c r="K49" s="10">
        <v>2</v>
      </c>
      <c r="L49" s="10">
        <v>10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GVWTOJZJGOXMCRF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93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HRHLQPKKPVYYZDG</v>
      </c>
      <c r="F50" s="8">
        <f t="shared" si="0"/>
        <v>141</v>
      </c>
      <c r="G50" s="8">
        <f t="shared" si="3"/>
        <v>124</v>
      </c>
      <c r="H50" s="10">
        <v>0</v>
      </c>
      <c r="I50" s="8" t="s">
        <v>63</v>
      </c>
      <c r="J50" s="13">
        <v>149</v>
      </c>
      <c r="K50" s="10">
        <v>2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EPQIGLHTVLXIQBX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94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TZBXRNXAAYRRJGC</v>
      </c>
      <c r="F51" s="8">
        <f t="shared" si="0"/>
        <v>141</v>
      </c>
      <c r="G51" s="8">
        <f t="shared" si="3"/>
        <v>124</v>
      </c>
      <c r="H51" s="10">
        <v>0</v>
      </c>
      <c r="I51" s="8" t="s">
        <v>63</v>
      </c>
      <c r="J51" s="13">
        <v>129</v>
      </c>
      <c r="K51" s="10">
        <v>1</v>
      </c>
      <c r="L51" s="10">
        <v>20</v>
      </c>
      <c r="M51" s="10">
        <v>1</v>
      </c>
      <c r="N51" s="14">
        <v>10000148</v>
      </c>
      <c r="O51" s="15" t="str" cm="1">
        <f ca="1" t="array" ref="O51">_xlfn.TEXTJOIN("",TRUE,CHAR(RANDBETWEEN(65,90+0*_xlfn.SEQUENCE(15))))</f>
        <v>CGAMFRRHDVQZFOH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95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EMCAVHHTTOGRRUW</v>
      </c>
      <c r="F52" s="8">
        <f t="shared" si="0"/>
        <v>141</v>
      </c>
      <c r="G52" s="8">
        <f t="shared" si="3"/>
        <v>124</v>
      </c>
      <c r="H52" s="10">
        <v>0</v>
      </c>
      <c r="I52" s="8" t="s">
        <v>63</v>
      </c>
      <c r="J52" s="13">
        <v>129</v>
      </c>
      <c r="K52" s="10">
        <v>1</v>
      </c>
      <c r="L52" s="10">
        <v>10</v>
      </c>
      <c r="M52" s="10">
        <v>1</v>
      </c>
      <c r="N52" s="14">
        <v>10000159</v>
      </c>
      <c r="O52" s="15" t="str" cm="1">
        <f ca="1" t="array" ref="O52">_xlfn.TEXTJOIN("",TRUE,CHAR(RANDBETWEEN(65,90+0*_xlfn.SEQUENCE(15))))</f>
        <v>FNWIWASRWYVDFWK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96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RJPHVKVHSQKFFTA</v>
      </c>
      <c r="F53" s="8">
        <f t="shared" si="0"/>
        <v>141</v>
      </c>
      <c r="G53" s="8">
        <f t="shared" si="3"/>
        <v>124</v>
      </c>
      <c r="H53" s="10">
        <v>0</v>
      </c>
      <c r="I53" s="8" t="s">
        <v>97</v>
      </c>
      <c r="J53" s="13">
        <v>80</v>
      </c>
      <c r="K53" s="10">
        <v>1</v>
      </c>
      <c r="L53" s="10">
        <v>10</v>
      </c>
      <c r="M53" s="10">
        <v>1</v>
      </c>
      <c r="N53" s="14">
        <v>10000194</v>
      </c>
      <c r="O53" s="15" t="str" cm="1">
        <f ca="1" t="array" ref="O53">_xlfn.TEXTJOIN("",TRUE,CHAR(RANDBETWEEN(65,90+0*_xlfn.SEQUENCE(15))))</f>
        <v>BASYNGSHOUTMGKC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98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BCPJZZHOQODKLJF</v>
      </c>
      <c r="F54" s="8">
        <f t="shared" si="0"/>
        <v>141</v>
      </c>
      <c r="G54" s="8">
        <f t="shared" si="3"/>
        <v>124</v>
      </c>
      <c r="H54" s="10">
        <v>0</v>
      </c>
      <c r="I54" s="8" t="s">
        <v>99</v>
      </c>
      <c r="J54" s="13">
        <v>149</v>
      </c>
      <c r="K54" s="10">
        <v>0</v>
      </c>
      <c r="L54" s="10">
        <v>10</v>
      </c>
      <c r="M54" s="10">
        <v>1</v>
      </c>
      <c r="N54" s="14">
        <v>10000200</v>
      </c>
      <c r="O54" s="15" t="str" cm="1">
        <f ca="1" t="array" ref="O54">_xlfn.TEXTJOIN("",TRUE,CHAR(RANDBETWEEN(65,90+0*_xlfn.SEQUENCE(15))))</f>
        <v>DIXQAJIUKQMPOIT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100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HNHCCSDTKAJOZJZ</v>
      </c>
      <c r="F55" s="8">
        <f t="shared" si="0"/>
        <v>141</v>
      </c>
      <c r="G55" s="8">
        <f t="shared" si="3"/>
        <v>124</v>
      </c>
      <c r="H55" s="10">
        <v>0</v>
      </c>
      <c r="I55" s="8" t="s">
        <v>101</v>
      </c>
      <c r="J55" s="13">
        <v>149</v>
      </c>
      <c r="K55" s="10">
        <v>0</v>
      </c>
      <c r="L55" s="10">
        <v>10</v>
      </c>
      <c r="M55" s="10">
        <v>1</v>
      </c>
      <c r="N55" s="14">
        <v>40021628</v>
      </c>
      <c r="O55" s="15" t="str" cm="1">
        <f ca="1" t="array" ref="O55">_xlfn.TEXTJOIN("",TRUE,CHAR(RANDBETWEEN(65,90+0*_xlfn.SEQUENCE(15))))</f>
        <v>BDKZREXACUWFEVK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102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ZDATCWPFROKAGUR</v>
      </c>
      <c r="F56" s="8">
        <f t="shared" si="0"/>
        <v>141</v>
      </c>
      <c r="G56" s="8">
        <f t="shared" si="3"/>
        <v>124</v>
      </c>
      <c r="H56" s="10">
        <v>0</v>
      </c>
      <c r="I56" s="8" t="s">
        <v>103</v>
      </c>
      <c r="J56" s="13">
        <v>99</v>
      </c>
      <c r="K56" s="10">
        <v>1</v>
      </c>
      <c r="L56" s="10">
        <v>20</v>
      </c>
      <c r="M56" s="10">
        <v>1</v>
      </c>
      <c r="N56" s="14">
        <v>10000148</v>
      </c>
      <c r="O56" s="15" t="str" cm="1">
        <f ca="1" t="array" ref="O56">_xlfn.TEXTJOIN("",TRUE,CHAR(RANDBETWEEN(65,90+0*_xlfn.SEQUENCE(15))))</f>
        <v>BDOOENBMAZJKDWY</v>
      </c>
      <c r="P56" s="16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104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DSBXZYROYTHDVAP</v>
      </c>
      <c r="F57" s="8">
        <f t="shared" si="0"/>
        <v>141</v>
      </c>
      <c r="G57" s="8">
        <f t="shared" si="3"/>
        <v>124</v>
      </c>
      <c r="H57" s="10">
        <v>0</v>
      </c>
      <c r="I57" s="8" t="s">
        <v>105</v>
      </c>
      <c r="J57" s="13">
        <v>99</v>
      </c>
      <c r="K57" s="10">
        <v>1</v>
      </c>
      <c r="L57" s="10">
        <v>10</v>
      </c>
      <c r="M57" s="10">
        <v>1</v>
      </c>
      <c r="N57" s="14">
        <v>10000159</v>
      </c>
      <c r="O57" s="15" t="str" cm="1">
        <f ca="1" t="array" ref="O57">_xlfn.TEXTJOIN("",TRUE,CHAR(RANDBETWEEN(65,90+0*_xlfn.SEQUENCE(15))))</f>
        <v>MDNIKWMQZYUJBKO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106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CJBKFOLPNKVUFVP</v>
      </c>
      <c r="F58" s="8">
        <f t="shared" si="0"/>
        <v>141</v>
      </c>
      <c r="G58" s="8">
        <f t="shared" si="3"/>
        <v>124</v>
      </c>
      <c r="H58" s="10">
        <v>0</v>
      </c>
      <c r="I58" s="8" t="s">
        <v>101</v>
      </c>
      <c r="J58" s="13">
        <v>149</v>
      </c>
      <c r="K58" s="10">
        <v>1</v>
      </c>
      <c r="L58" s="10">
        <v>10</v>
      </c>
      <c r="M58" s="10">
        <v>1</v>
      </c>
      <c r="N58" s="14">
        <v>10000194</v>
      </c>
      <c r="O58" s="15" t="str" cm="1">
        <f ca="1" t="array" ref="O58">_xlfn.TEXTJOIN("",TRUE,CHAR(RANDBETWEEN(65,90+0*_xlfn.SEQUENCE(15))))</f>
        <v>KHWVMGXEPNONKIE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107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HTCWEYKXUKRCDLL</v>
      </c>
      <c r="F59" s="8">
        <f t="shared" si="0"/>
        <v>141</v>
      </c>
      <c r="G59" s="8">
        <f t="shared" si="3"/>
        <v>124</v>
      </c>
      <c r="H59" s="10">
        <v>0</v>
      </c>
      <c r="I59" s="8" t="s">
        <v>108</v>
      </c>
      <c r="J59" s="13">
        <v>99</v>
      </c>
      <c r="K59" s="10">
        <v>0</v>
      </c>
      <c r="L59" s="10">
        <v>10</v>
      </c>
      <c r="M59" s="10">
        <v>1</v>
      </c>
      <c r="N59" s="14">
        <v>10000148</v>
      </c>
      <c r="O59" s="15" t="str" cm="1">
        <f ca="1" t="array" ref="O59">_xlfn.TEXTJOIN("",TRUE,CHAR(RANDBETWEEN(65,90+0*_xlfn.SEQUENCE(15))))</f>
        <v>HDPJUZVTUORGKLW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109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OOFDDANKPUROIQH</v>
      </c>
      <c r="F60" s="8">
        <f t="shared" si="0"/>
        <v>141</v>
      </c>
      <c r="G60" s="8">
        <f t="shared" si="3"/>
        <v>124</v>
      </c>
      <c r="H60" s="10">
        <v>0</v>
      </c>
      <c r="I60" s="8" t="s">
        <v>110</v>
      </c>
      <c r="J60" s="13">
        <v>109</v>
      </c>
      <c r="K60" s="10">
        <v>0</v>
      </c>
      <c r="L60" s="10">
        <v>10</v>
      </c>
      <c r="M60" s="10">
        <v>1</v>
      </c>
      <c r="N60" s="14">
        <v>10000159</v>
      </c>
      <c r="O60" s="15" t="str" cm="1">
        <f ca="1" t="array" ref="O60">_xlfn.TEXTJOIN("",TRUE,CHAR(RANDBETWEEN(65,90+0*_xlfn.SEQUENCE(15))))</f>
        <v>BCZIWSPZTCEHUNZ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111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QRAHVYUHHWBFAXC</v>
      </c>
      <c r="F61" s="8">
        <f t="shared" si="0"/>
        <v>141</v>
      </c>
      <c r="G61" s="8">
        <f t="shared" si="3"/>
        <v>124</v>
      </c>
      <c r="H61" s="10">
        <v>0</v>
      </c>
      <c r="I61" s="8" t="s">
        <v>101</v>
      </c>
      <c r="J61" s="13">
        <v>80</v>
      </c>
      <c r="K61" s="10">
        <v>0</v>
      </c>
      <c r="L61" s="10">
        <v>5</v>
      </c>
      <c r="M61" s="10">
        <v>1</v>
      </c>
      <c r="N61" s="14">
        <v>10000194</v>
      </c>
      <c r="O61" s="15" t="str" cm="1">
        <f ca="1" t="array" ref="O61">_xlfn.TEXTJOIN("",TRUE,CHAR(RANDBETWEEN(65,90+0*_xlfn.SEQUENCE(15))))</f>
        <v>YDPPDNALDYRKCHA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112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TZNMWYWQUWLQFOM</v>
      </c>
      <c r="F62" s="8">
        <f t="shared" si="0"/>
        <v>141</v>
      </c>
      <c r="G62" s="8">
        <f t="shared" si="3"/>
        <v>124</v>
      </c>
      <c r="H62" s="10">
        <v>0</v>
      </c>
      <c r="I62" s="8" t="s">
        <v>110</v>
      </c>
      <c r="J62" s="13">
        <v>99</v>
      </c>
      <c r="K62" s="10">
        <v>0</v>
      </c>
      <c r="L62" s="10">
        <v>5</v>
      </c>
      <c r="M62" s="10">
        <v>1</v>
      </c>
      <c r="N62" s="14">
        <v>10000200</v>
      </c>
      <c r="O62" s="15" t="str" cm="1">
        <f ca="1" t="array" ref="O62">_xlfn.TEXTJOIN("",TRUE,CHAR(RANDBETWEEN(65,90+0*_xlfn.SEQUENCE(15))))</f>
        <v>ILARSPHPCZHNQUN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113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ZWZABPGAUDVGVMO</v>
      </c>
      <c r="F63" s="8">
        <f t="shared" si="0"/>
        <v>141</v>
      </c>
      <c r="G63" s="8">
        <f t="shared" si="3"/>
        <v>124</v>
      </c>
      <c r="H63" s="10">
        <v>0</v>
      </c>
      <c r="I63" s="8" t="s">
        <v>63</v>
      </c>
      <c r="J63" s="13">
        <v>149</v>
      </c>
      <c r="K63" s="10">
        <v>0</v>
      </c>
      <c r="L63" s="10">
        <v>5</v>
      </c>
      <c r="M63" s="10">
        <v>1</v>
      </c>
      <c r="N63" s="14">
        <v>40021628</v>
      </c>
      <c r="O63" s="15" t="str" cm="1">
        <f ca="1" t="array" ref="O63">_xlfn.TEXTJOIN("",TRUE,CHAR(RANDBETWEEN(65,90+0*_xlfn.SEQUENCE(15))))</f>
        <v>ZIUMXMGVZXQZNFO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114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KFTKCTIERPJMKGF</v>
      </c>
      <c r="F64" s="8">
        <f t="shared" si="0"/>
        <v>141</v>
      </c>
      <c r="G64" s="8">
        <v>123</v>
      </c>
      <c r="H64" s="10">
        <v>0</v>
      </c>
      <c r="I64" s="8" t="s">
        <v>63</v>
      </c>
      <c r="J64" s="13">
        <v>119</v>
      </c>
      <c r="K64" s="10">
        <v>0</v>
      </c>
      <c r="L64" s="10">
        <v>5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LHCYKQQRHURUNGR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115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ISKHBSNQJPGQBXM</v>
      </c>
      <c r="F65" s="8">
        <f t="shared" si="0"/>
        <v>141</v>
      </c>
      <c r="G65" s="8">
        <v>123</v>
      </c>
      <c r="H65" s="10">
        <v>0</v>
      </c>
      <c r="I65" s="8" t="s">
        <v>116</v>
      </c>
      <c r="J65" s="13">
        <v>99</v>
      </c>
      <c r="K65" s="10">
        <v>0</v>
      </c>
      <c r="L65" s="10">
        <v>5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LKLBXCIRYKXNFJH</v>
      </c>
      <c r="P65" s="16">
        <v>1</v>
      </c>
      <c r="Q65" s="2" t="s">
        <v>29</v>
      </c>
      <c r="R65" s="2" t="s">
        <v>30</v>
      </c>
      <c r="S65" s="8">
        <v>1</v>
      </c>
      <c r="T65" s="8">
        <v>1</v>
      </c>
      <c r="U65" s="8">
        <v>1</v>
      </c>
      <c r="V65" s="8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117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TQBQHFUWVBHZFWE</v>
      </c>
      <c r="F66" s="8">
        <f t="shared" ref="F66:F129" si="4">141</f>
        <v>141</v>
      </c>
      <c r="G66" s="8">
        <v>123</v>
      </c>
      <c r="H66" s="10">
        <v>0</v>
      </c>
      <c r="I66" s="8" t="s">
        <v>118</v>
      </c>
      <c r="J66" s="13">
        <v>149</v>
      </c>
      <c r="K66" s="10">
        <v>0</v>
      </c>
      <c r="L66" s="10">
        <v>10</v>
      </c>
      <c r="M66" s="10">
        <v>1</v>
      </c>
      <c r="N66" s="14">
        <v>10000148</v>
      </c>
      <c r="O66" s="15" t="str" cm="1">
        <f ca="1" t="array" ref="O66">_xlfn.TEXTJOIN("",TRUE,CHAR(RANDBETWEEN(65,90+0*_xlfn.SEQUENCE(15))))</f>
        <v>SOMCEIBSJZEZRSU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119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RPFXUTIRAFXZIPY</v>
      </c>
      <c r="F67" s="8">
        <f t="shared" si="4"/>
        <v>141</v>
      </c>
      <c r="G67" s="8">
        <f t="shared" ref="G67:G83" si="5">121</f>
        <v>121</v>
      </c>
      <c r="H67" s="10">
        <v>0</v>
      </c>
      <c r="I67" s="8" t="s">
        <v>120</v>
      </c>
      <c r="J67" s="13">
        <v>110</v>
      </c>
      <c r="K67" s="10">
        <v>2</v>
      </c>
      <c r="L67" s="10">
        <v>20</v>
      </c>
      <c r="M67" s="10">
        <v>1</v>
      </c>
      <c r="N67" s="14">
        <v>10000159</v>
      </c>
      <c r="O67" s="15" t="str" cm="1">
        <f ca="1" t="array" ref="O67">_xlfn.TEXTJOIN("",TRUE,CHAR(RANDBETWEEN(65,90+0*_xlfn.SEQUENCE(15))))</f>
        <v>MTGDFPFLAGEANGQ</v>
      </c>
      <c r="P67" s="16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121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BFPWSADBODUMGNT</v>
      </c>
      <c r="F68" s="8">
        <f t="shared" si="4"/>
        <v>141</v>
      </c>
      <c r="G68" s="8">
        <f t="shared" si="5"/>
        <v>121</v>
      </c>
      <c r="H68" s="10">
        <v>0</v>
      </c>
      <c r="I68" s="8" t="s">
        <v>91</v>
      </c>
      <c r="J68" s="13">
        <v>89</v>
      </c>
      <c r="K68" s="10">
        <v>2</v>
      </c>
      <c r="L68" s="10">
        <v>20</v>
      </c>
      <c r="M68" s="10">
        <v>1</v>
      </c>
      <c r="N68" s="14">
        <v>10000194</v>
      </c>
      <c r="O68" s="15" t="str" cm="1">
        <f ca="1" t="array" ref="O68">_xlfn.TEXTJOIN("",TRUE,CHAR(RANDBETWEEN(65,90+0*_xlfn.SEQUENCE(15))))</f>
        <v>MFOAFKAZJTQZDMN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122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ULQBHLDUGNFFIPF</v>
      </c>
      <c r="F69" s="8">
        <f t="shared" si="4"/>
        <v>141</v>
      </c>
      <c r="G69" s="8">
        <f t="shared" si="5"/>
        <v>121</v>
      </c>
      <c r="H69" s="10">
        <v>0</v>
      </c>
      <c r="I69" s="8" t="s">
        <v>123</v>
      </c>
      <c r="J69" s="13">
        <v>129</v>
      </c>
      <c r="K69" s="10">
        <v>2</v>
      </c>
      <c r="L69" s="10">
        <v>10</v>
      </c>
      <c r="M69" s="10">
        <v>1</v>
      </c>
      <c r="N69" s="14">
        <v>10000200</v>
      </c>
      <c r="O69" s="15" t="str" cm="1">
        <f ca="1" t="array" ref="O69">_xlfn.TEXTJOIN("",TRUE,CHAR(RANDBETWEEN(65,90+0*_xlfn.SEQUENCE(15))))</f>
        <v>MEOEZXXBANTDSBL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124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DWQAWVDJQMVAJNP</v>
      </c>
      <c r="F70" s="8">
        <f t="shared" si="4"/>
        <v>141</v>
      </c>
      <c r="G70" s="8">
        <f t="shared" si="5"/>
        <v>121</v>
      </c>
      <c r="H70" s="10">
        <v>0</v>
      </c>
      <c r="I70" s="8" t="s">
        <v>63</v>
      </c>
      <c r="J70" s="13">
        <v>149</v>
      </c>
      <c r="K70" s="10">
        <v>2</v>
      </c>
      <c r="L70" s="10">
        <v>10</v>
      </c>
      <c r="M70" s="10">
        <v>1</v>
      </c>
      <c r="N70" s="14">
        <v>40021628</v>
      </c>
      <c r="O70" s="15" t="str" cm="1">
        <f ca="1" t="array" ref="O70">_xlfn.TEXTJOIN("",TRUE,CHAR(RANDBETWEEN(65,90+0*_xlfn.SEQUENCE(15))))</f>
        <v>ZBTPPMYNNHKPIZB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125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LRNTGJAMDHPPETF</v>
      </c>
      <c r="F71" s="8">
        <f t="shared" si="4"/>
        <v>141</v>
      </c>
      <c r="G71" s="8">
        <f t="shared" si="5"/>
        <v>121</v>
      </c>
      <c r="H71" s="10">
        <v>0</v>
      </c>
      <c r="I71" s="8" t="s">
        <v>69</v>
      </c>
      <c r="J71" s="13">
        <v>129</v>
      </c>
      <c r="K71" s="10">
        <v>1</v>
      </c>
      <c r="L71" s="10">
        <v>20</v>
      </c>
      <c r="M71" s="10">
        <v>1</v>
      </c>
      <c r="N71" s="14">
        <v>10000148</v>
      </c>
      <c r="O71" s="15" t="str" cm="1">
        <f ca="1" t="array" ref="O71">_xlfn.TEXTJOIN("",TRUE,CHAR(RANDBETWEEN(65,90+0*_xlfn.SEQUENCE(15))))</f>
        <v>JVRUWQMCEGCDEPL</v>
      </c>
      <c r="P71" s="16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126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RLYLWBTVCKNDCFJ</v>
      </c>
      <c r="F72" s="8">
        <f t="shared" si="4"/>
        <v>141</v>
      </c>
      <c r="G72" s="8">
        <f t="shared" si="5"/>
        <v>121</v>
      </c>
      <c r="H72" s="10">
        <v>0</v>
      </c>
      <c r="I72" s="8" t="s">
        <v>28</v>
      </c>
      <c r="J72" s="13">
        <v>450</v>
      </c>
      <c r="K72" s="10">
        <v>1</v>
      </c>
      <c r="L72" s="10">
        <v>10</v>
      </c>
      <c r="M72" s="10">
        <v>1</v>
      </c>
      <c r="N72" s="14">
        <v>10000159</v>
      </c>
      <c r="O72" s="15" t="str" cm="1">
        <f ca="1" t="array" ref="O72">_xlfn.TEXTJOIN("",TRUE,CHAR(RANDBETWEEN(65,90+0*_xlfn.SEQUENCE(15))))</f>
        <v>OSLDEPXDTHYISSD</v>
      </c>
      <c r="P72" s="16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127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NMSTCSRSCCGFJBL</v>
      </c>
      <c r="F73" s="8">
        <f t="shared" si="4"/>
        <v>141</v>
      </c>
      <c r="G73" s="8">
        <f t="shared" si="5"/>
        <v>121</v>
      </c>
      <c r="H73" s="10">
        <v>0</v>
      </c>
      <c r="I73" s="8" t="s">
        <v>128</v>
      </c>
      <c r="J73" s="13">
        <v>129</v>
      </c>
      <c r="K73" s="10">
        <v>1</v>
      </c>
      <c r="L73" s="10">
        <v>10</v>
      </c>
      <c r="M73" s="10">
        <v>1</v>
      </c>
      <c r="N73" s="14">
        <v>10000194</v>
      </c>
      <c r="O73" s="15" t="str" cm="1">
        <f ca="1" t="array" ref="O73">_xlfn.TEXTJOIN("",TRUE,CHAR(RANDBETWEEN(65,90+0*_xlfn.SEQUENCE(15))))</f>
        <v>ZVBGEIUPSIQGNEJ</v>
      </c>
      <c r="P73" s="16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117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TUKIQVGKIGPXHON</v>
      </c>
      <c r="F74" s="8">
        <f t="shared" si="4"/>
        <v>141</v>
      </c>
      <c r="G74" s="8">
        <f t="shared" si="5"/>
        <v>121</v>
      </c>
      <c r="H74" s="10">
        <v>0</v>
      </c>
      <c r="I74" s="8" t="s">
        <v>118</v>
      </c>
      <c r="J74" s="13">
        <v>149</v>
      </c>
      <c r="K74" s="10">
        <v>0</v>
      </c>
      <c r="L74" s="10">
        <v>10</v>
      </c>
      <c r="M74" s="10">
        <v>1</v>
      </c>
      <c r="N74" s="14">
        <v>10000148</v>
      </c>
      <c r="O74" s="15" t="str" cm="1">
        <f ca="1" t="array" ref="O74">_xlfn.TEXTJOIN("",TRUE,CHAR(RANDBETWEEN(65,90+0*_xlfn.SEQUENCE(15))))</f>
        <v>XJDJQGBLOHCFWUA</v>
      </c>
      <c r="P74" s="16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129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XCMIKYBJJFUONJH</v>
      </c>
      <c r="F75" s="8">
        <f t="shared" si="4"/>
        <v>141</v>
      </c>
      <c r="G75" s="8">
        <f t="shared" si="5"/>
        <v>121</v>
      </c>
      <c r="H75" s="10">
        <v>0</v>
      </c>
      <c r="I75" s="8" t="s">
        <v>52</v>
      </c>
      <c r="J75" s="13">
        <v>65</v>
      </c>
      <c r="K75" s="10">
        <v>0</v>
      </c>
      <c r="L75" s="10">
        <v>10</v>
      </c>
      <c r="M75" s="10">
        <v>1</v>
      </c>
      <c r="N75" s="14">
        <v>10000159</v>
      </c>
      <c r="O75" s="15" t="str" cm="1">
        <f ca="1" t="array" ref="O75">_xlfn.TEXTJOIN("",TRUE,CHAR(RANDBETWEEN(65,90+0*_xlfn.SEQUENCE(15))))</f>
        <v>RIXDHPSYIBALZKI</v>
      </c>
      <c r="P75" s="16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130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SIFVXLCQEFUHMIU</v>
      </c>
      <c r="F76" s="8">
        <f t="shared" si="4"/>
        <v>141</v>
      </c>
      <c r="G76" s="8">
        <f t="shared" si="5"/>
        <v>121</v>
      </c>
      <c r="H76" s="10">
        <v>0</v>
      </c>
      <c r="I76" s="8" t="s">
        <v>118</v>
      </c>
      <c r="J76" s="13">
        <v>129</v>
      </c>
      <c r="K76" s="10">
        <v>1</v>
      </c>
      <c r="L76" s="10">
        <v>20</v>
      </c>
      <c r="M76" s="10">
        <v>1</v>
      </c>
      <c r="N76" s="14">
        <v>10000194</v>
      </c>
      <c r="O76" s="15" t="str" cm="1">
        <f ca="1" t="array" ref="O76">_xlfn.TEXTJOIN("",TRUE,CHAR(RANDBETWEEN(65,90+0*_xlfn.SEQUENCE(15))))</f>
        <v>WMZTYJWGKWLJTXH</v>
      </c>
      <c r="P76" s="16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131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GHXRDRPMPBWHVWL</v>
      </c>
      <c r="F77" s="8">
        <f t="shared" si="4"/>
        <v>141</v>
      </c>
      <c r="G77" s="8">
        <f t="shared" si="5"/>
        <v>121</v>
      </c>
      <c r="H77" s="10">
        <v>0</v>
      </c>
      <c r="I77" s="8" t="s">
        <v>69</v>
      </c>
      <c r="J77" s="13">
        <v>109</v>
      </c>
      <c r="K77" s="10">
        <v>1</v>
      </c>
      <c r="L77" s="10">
        <v>10</v>
      </c>
      <c r="M77" s="10">
        <v>1</v>
      </c>
      <c r="N77" s="14">
        <v>10000200</v>
      </c>
      <c r="O77" s="15" t="str" cm="1">
        <f ca="1" t="array" ref="O77">_xlfn.TEXTJOIN("",TRUE,CHAR(RANDBETWEEN(65,90+0*_xlfn.SEQUENCE(15))))</f>
        <v>OVEUBLUSSGDSRWH</v>
      </c>
      <c r="P77" s="16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132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EUELAPYSMXOHVMX</v>
      </c>
      <c r="F78" s="8">
        <f t="shared" si="4"/>
        <v>141</v>
      </c>
      <c r="G78" s="8">
        <f t="shared" si="5"/>
        <v>121</v>
      </c>
      <c r="H78" s="10">
        <v>0</v>
      </c>
      <c r="I78" s="8" t="s">
        <v>69</v>
      </c>
      <c r="J78" s="13">
        <v>109</v>
      </c>
      <c r="K78" s="10">
        <v>1</v>
      </c>
      <c r="L78" s="10">
        <v>10</v>
      </c>
      <c r="M78" s="10">
        <v>1</v>
      </c>
      <c r="N78" s="14">
        <v>40021628</v>
      </c>
      <c r="O78" s="15" t="str" cm="1">
        <f ca="1" t="array" ref="O78">_xlfn.TEXTJOIN("",TRUE,CHAR(RANDBETWEEN(65,90+0*_xlfn.SEQUENCE(15))))</f>
        <v>ODRUHOFPJSTQNXH</v>
      </c>
      <c r="P78" s="16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133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MXMVXNOSFZDLFGZ</v>
      </c>
      <c r="F79" s="8">
        <f t="shared" si="4"/>
        <v>141</v>
      </c>
      <c r="G79" s="8">
        <f t="shared" si="5"/>
        <v>121</v>
      </c>
      <c r="H79" s="10">
        <v>0</v>
      </c>
      <c r="I79" s="8" t="s">
        <v>134</v>
      </c>
      <c r="J79" s="13">
        <v>149</v>
      </c>
      <c r="K79" s="10">
        <v>0</v>
      </c>
      <c r="L79" s="10">
        <v>10</v>
      </c>
      <c r="M79" s="10">
        <v>1</v>
      </c>
      <c r="N79" s="14">
        <v>10000148</v>
      </c>
      <c r="O79" s="15" t="str" cm="1">
        <f ca="1" t="array" ref="O79">_xlfn.TEXTJOIN("",TRUE,CHAR(RANDBETWEEN(65,90+0*_xlfn.SEQUENCE(15))))</f>
        <v>XQRQPEDWHWCYIYI</v>
      </c>
      <c r="P79" s="16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135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MYFMZZBWDBMRXSZ</v>
      </c>
      <c r="F80" s="8">
        <f t="shared" si="4"/>
        <v>141</v>
      </c>
      <c r="G80" s="8">
        <f t="shared" si="5"/>
        <v>121</v>
      </c>
      <c r="H80" s="10">
        <v>0</v>
      </c>
      <c r="I80" s="8" t="s">
        <v>69</v>
      </c>
      <c r="J80" s="13">
        <v>94</v>
      </c>
      <c r="K80" s="10">
        <v>0</v>
      </c>
      <c r="L80" s="10">
        <v>10</v>
      </c>
      <c r="M80" s="10">
        <v>1</v>
      </c>
      <c r="N80" s="14">
        <v>10000159</v>
      </c>
      <c r="O80" s="15" t="str" cm="1">
        <f ca="1" t="array" ref="O80">_xlfn.TEXTJOIN("",TRUE,CHAR(RANDBETWEEN(65,90+0*_xlfn.SEQUENCE(15))))</f>
        <v>CYZUMRHCRDAGHVU</v>
      </c>
      <c r="P80" s="16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136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NGKEUYVHGUTDVUC</v>
      </c>
      <c r="F81" s="8">
        <f t="shared" si="4"/>
        <v>141</v>
      </c>
      <c r="G81" s="8">
        <f t="shared" si="5"/>
        <v>121</v>
      </c>
      <c r="H81" s="10">
        <v>0</v>
      </c>
      <c r="I81" s="8" t="s">
        <v>52</v>
      </c>
      <c r="J81" s="13">
        <v>45</v>
      </c>
      <c r="K81" s="10">
        <v>0</v>
      </c>
      <c r="L81" s="10">
        <v>5</v>
      </c>
      <c r="M81" s="10">
        <v>1</v>
      </c>
      <c r="N81" s="14">
        <v>10000148</v>
      </c>
      <c r="O81" s="15" t="str" cm="1">
        <f ca="1" t="array" ref="O81">_xlfn.TEXTJOIN("",TRUE,CHAR(RANDBETWEEN(65,90+0*_xlfn.SEQUENCE(15))))</f>
        <v>GEPCAHWGFVXGNFQ</v>
      </c>
      <c r="P81" s="16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137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USVQXUFFKYYUFSW</v>
      </c>
      <c r="F82" s="8">
        <f t="shared" si="4"/>
        <v>141</v>
      </c>
      <c r="G82" s="8">
        <f t="shared" si="5"/>
        <v>121</v>
      </c>
      <c r="H82" s="10">
        <v>0</v>
      </c>
      <c r="I82" s="8" t="s">
        <v>52</v>
      </c>
      <c r="J82" s="13">
        <v>47</v>
      </c>
      <c r="K82" s="10">
        <v>0</v>
      </c>
      <c r="L82" s="10">
        <v>5</v>
      </c>
      <c r="M82" s="10">
        <v>1</v>
      </c>
      <c r="N82" s="14">
        <v>10000159</v>
      </c>
      <c r="O82" s="15" t="str" cm="1">
        <f ca="1" t="array" ref="O82">_xlfn.TEXTJOIN("",TRUE,CHAR(RANDBETWEEN(65,90+0*_xlfn.SEQUENCE(15))))</f>
        <v>HSQSDDSQQKSGMWE</v>
      </c>
      <c r="P82" s="16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138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HNGHRCQGXIJLHZN</v>
      </c>
      <c r="F83" s="8">
        <f t="shared" si="4"/>
        <v>141</v>
      </c>
      <c r="G83" s="8">
        <f t="shared" si="5"/>
        <v>121</v>
      </c>
      <c r="H83" s="10">
        <v>0</v>
      </c>
      <c r="I83" s="8" t="s">
        <v>52</v>
      </c>
      <c r="J83" s="13">
        <v>45</v>
      </c>
      <c r="K83" s="10">
        <v>0</v>
      </c>
      <c r="L83" s="10">
        <v>5</v>
      </c>
      <c r="M83" s="10">
        <v>1</v>
      </c>
      <c r="N83" s="14">
        <v>10000194</v>
      </c>
      <c r="O83" s="15" t="str" cm="1">
        <f ca="1" t="array" ref="O83">_xlfn.TEXTJOIN("",TRUE,CHAR(RANDBETWEEN(65,90+0*_xlfn.SEQUENCE(15))))</f>
        <v>UFMRFSGJQVQGAJY</v>
      </c>
      <c r="P83" s="16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139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YBIEHUKAKDATMBU</v>
      </c>
      <c r="F84" s="8">
        <f t="shared" si="4"/>
        <v>141</v>
      </c>
      <c r="G84" s="8">
        <f t="shared" ref="G84:G109" si="6">122</f>
        <v>122</v>
      </c>
      <c r="H84" s="10">
        <v>0</v>
      </c>
      <c r="I84" s="8" t="s">
        <v>52</v>
      </c>
      <c r="J84" s="13">
        <v>80</v>
      </c>
      <c r="K84" s="10">
        <v>0</v>
      </c>
      <c r="L84" s="10">
        <v>5</v>
      </c>
      <c r="M84" s="10">
        <v>1</v>
      </c>
      <c r="N84" s="14">
        <v>10000200</v>
      </c>
      <c r="O84" s="15" t="str" cm="1">
        <f ca="1" t="array" ref="O84">_xlfn.TEXTJOIN("",TRUE,CHAR(RANDBETWEEN(65,90+0*_xlfn.SEQUENCE(15))))</f>
        <v>BHCJDTZAFEUSJOK</v>
      </c>
      <c r="P84" s="16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140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MLUMPVMTSUAVFCS</v>
      </c>
      <c r="F85" s="8">
        <f t="shared" si="4"/>
        <v>141</v>
      </c>
      <c r="G85" s="8">
        <f t="shared" si="6"/>
        <v>122</v>
      </c>
      <c r="H85" s="10">
        <v>0</v>
      </c>
      <c r="I85" s="8" t="s">
        <v>44</v>
      </c>
      <c r="J85" s="13">
        <v>40</v>
      </c>
      <c r="K85" s="10">
        <v>0</v>
      </c>
      <c r="L85" s="10">
        <v>5</v>
      </c>
      <c r="M85" s="10">
        <v>1</v>
      </c>
      <c r="N85" s="14">
        <v>40021628</v>
      </c>
      <c r="O85" s="15" t="str" cm="1">
        <f ca="1" t="array" ref="O85">_xlfn.TEXTJOIN("",TRUE,CHAR(RANDBETWEEN(65,90+0*_xlfn.SEQUENCE(15))))</f>
        <v>XFSZQNXFPALEWCM</v>
      </c>
      <c r="P85" s="16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141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KPQEEUAQMNNAJHC</v>
      </c>
      <c r="F86" s="8">
        <f t="shared" si="4"/>
        <v>141</v>
      </c>
      <c r="G86" s="8">
        <f t="shared" si="6"/>
        <v>122</v>
      </c>
      <c r="H86" s="10">
        <v>0</v>
      </c>
      <c r="I86" s="8" t="s">
        <v>142</v>
      </c>
      <c r="J86" s="13">
        <v>220</v>
      </c>
      <c r="K86" s="10">
        <v>0</v>
      </c>
      <c r="L86" s="10">
        <v>10</v>
      </c>
      <c r="M86" s="10">
        <v>1</v>
      </c>
      <c r="N86" s="14">
        <v>10000148</v>
      </c>
      <c r="O86" s="15" t="str" cm="1">
        <f ca="1" t="array" ref="O86">_xlfn.TEXTJOIN("",TRUE,CHAR(RANDBETWEEN(65,90+0*_xlfn.SEQUENCE(15))))</f>
        <v>AJARXEKWJWIJVNV</v>
      </c>
      <c r="P86" s="16">
        <v>1</v>
      </c>
      <c r="Q86" s="2" t="s">
        <v>29</v>
      </c>
      <c r="R86" s="2" t="s">
        <v>30</v>
      </c>
      <c r="S86" s="8">
        <v>1</v>
      </c>
      <c r="T86" s="8">
        <v>1</v>
      </c>
      <c r="U86" s="8">
        <v>1</v>
      </c>
      <c r="V86" s="8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143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MXPETTIMFWWMZBV</v>
      </c>
      <c r="F87" s="8">
        <f t="shared" si="4"/>
        <v>141</v>
      </c>
      <c r="G87" s="8">
        <f t="shared" si="6"/>
        <v>122</v>
      </c>
      <c r="H87" s="10">
        <v>0</v>
      </c>
      <c r="I87" s="8" t="s">
        <v>142</v>
      </c>
      <c r="J87" s="13">
        <v>100</v>
      </c>
      <c r="K87" s="10">
        <v>2</v>
      </c>
      <c r="L87" s="10">
        <v>20</v>
      </c>
      <c r="M87" s="10">
        <v>1</v>
      </c>
      <c r="N87" s="14">
        <v>10000159</v>
      </c>
      <c r="O87" s="15" t="str" cm="1">
        <f ca="1" t="array" ref="O87">_xlfn.TEXTJOIN("",TRUE,CHAR(RANDBETWEEN(65,90+0*_xlfn.SEQUENCE(15))))</f>
        <v>JFDTVESOBTRHJCZ</v>
      </c>
      <c r="P87" s="16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144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TDYDBLVFFAXCFLR</v>
      </c>
      <c r="F88" s="8">
        <f t="shared" si="4"/>
        <v>141</v>
      </c>
      <c r="G88" s="8">
        <f t="shared" si="6"/>
        <v>122</v>
      </c>
      <c r="H88" s="10">
        <v>0</v>
      </c>
      <c r="I88" s="8" t="s">
        <v>52</v>
      </c>
      <c r="J88" s="13">
        <v>110</v>
      </c>
      <c r="K88" s="10">
        <v>2</v>
      </c>
      <c r="L88" s="10">
        <v>20</v>
      </c>
      <c r="M88" s="10">
        <v>1</v>
      </c>
      <c r="N88" s="14">
        <v>10000194</v>
      </c>
      <c r="O88" s="15" t="str" cm="1">
        <f ca="1" t="array" ref="O88">_xlfn.TEXTJOIN("",TRUE,CHAR(RANDBETWEEN(65,90+0*_xlfn.SEQUENCE(15))))</f>
        <v>AUDVBOBEVZPWYDO</v>
      </c>
      <c r="P88" s="16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145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RMUPQGJCZKNMMXC</v>
      </c>
      <c r="F89" s="8">
        <f t="shared" si="4"/>
        <v>141</v>
      </c>
      <c r="G89" s="8">
        <f t="shared" si="6"/>
        <v>122</v>
      </c>
      <c r="H89" s="10">
        <v>0</v>
      </c>
      <c r="I89" s="8" t="s">
        <v>146</v>
      </c>
      <c r="J89" s="13">
        <v>150</v>
      </c>
      <c r="K89" s="10">
        <v>2</v>
      </c>
      <c r="L89" s="10">
        <v>10</v>
      </c>
      <c r="M89" s="10">
        <v>1</v>
      </c>
      <c r="N89" s="14">
        <v>10000148</v>
      </c>
      <c r="O89" s="15" t="str" cm="1">
        <f ca="1" t="array" ref="O89">_xlfn.TEXTJOIN("",TRUE,CHAR(RANDBETWEEN(65,90+0*_xlfn.SEQUENCE(15))))</f>
        <v>YMJGLWZVFUYCJHZ</v>
      </c>
      <c r="P89" s="16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147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MSWQYPIZSPZOVTS</v>
      </c>
      <c r="F90" s="8">
        <f t="shared" si="4"/>
        <v>141</v>
      </c>
      <c r="G90" s="8">
        <f t="shared" si="6"/>
        <v>122</v>
      </c>
      <c r="H90" s="10">
        <v>0</v>
      </c>
      <c r="I90" s="8" t="s">
        <v>99</v>
      </c>
      <c r="J90" s="13">
        <v>75</v>
      </c>
      <c r="K90" s="10">
        <v>2</v>
      </c>
      <c r="L90" s="10">
        <v>10</v>
      </c>
      <c r="M90" s="10">
        <v>1</v>
      </c>
      <c r="N90" s="14">
        <v>10000159</v>
      </c>
      <c r="O90" s="15" t="str" cm="1">
        <f ca="1" t="array" ref="O90">_xlfn.TEXTJOIN("",TRUE,CHAR(RANDBETWEEN(65,90+0*_xlfn.SEQUENCE(15))))</f>
        <v>NZTDHLPNAXDLYSM</v>
      </c>
      <c r="P90" s="16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148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XUGDUQJGBBONXTD</v>
      </c>
      <c r="F91" s="8">
        <f t="shared" si="4"/>
        <v>141</v>
      </c>
      <c r="G91" s="8">
        <f t="shared" si="6"/>
        <v>122</v>
      </c>
      <c r="H91" s="10">
        <v>0</v>
      </c>
      <c r="I91" s="8" t="s">
        <v>149</v>
      </c>
      <c r="J91" s="13">
        <v>89</v>
      </c>
      <c r="K91" s="10">
        <v>1</v>
      </c>
      <c r="L91" s="10">
        <v>20</v>
      </c>
      <c r="M91" s="10">
        <v>1</v>
      </c>
      <c r="N91" s="14">
        <v>10000194</v>
      </c>
      <c r="O91" s="15" t="str" cm="1">
        <f ca="1" t="array" ref="O91">_xlfn.TEXTJOIN("",TRUE,CHAR(RANDBETWEEN(65,90+0*_xlfn.SEQUENCE(15))))</f>
        <v>UTSHEFZWJGCZEUJ</v>
      </c>
      <c r="P91" s="16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150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KHVBDIELAQOXGRZ</v>
      </c>
      <c r="F92" s="8">
        <f t="shared" si="4"/>
        <v>141</v>
      </c>
      <c r="G92" s="8">
        <f t="shared" si="6"/>
        <v>122</v>
      </c>
      <c r="H92" s="10">
        <v>0</v>
      </c>
      <c r="I92" s="8" t="s">
        <v>52</v>
      </c>
      <c r="J92" s="13">
        <v>80</v>
      </c>
      <c r="K92" s="10">
        <v>1</v>
      </c>
      <c r="L92" s="10">
        <v>10</v>
      </c>
      <c r="M92" s="10">
        <v>1</v>
      </c>
      <c r="N92" s="14">
        <v>10000200</v>
      </c>
      <c r="O92" s="15" t="str" cm="1">
        <f ca="1" t="array" ref="O92">_xlfn.TEXTJOIN("",TRUE,CHAR(RANDBETWEEN(65,90+0*_xlfn.SEQUENCE(15))))</f>
        <v>ZLNPYDWWJLAGEHB</v>
      </c>
      <c r="P92" s="16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151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BYQTWYLQNEUZIEC</v>
      </c>
      <c r="F93" s="8">
        <f t="shared" si="4"/>
        <v>141</v>
      </c>
      <c r="G93" s="8">
        <f t="shared" si="6"/>
        <v>122</v>
      </c>
      <c r="H93" s="10">
        <v>0</v>
      </c>
      <c r="I93" s="8" t="s">
        <v>52</v>
      </c>
      <c r="J93" s="13">
        <v>80</v>
      </c>
      <c r="K93" s="10">
        <v>1</v>
      </c>
      <c r="L93" s="10">
        <v>10</v>
      </c>
      <c r="M93" s="10">
        <v>1</v>
      </c>
      <c r="N93" s="14">
        <v>40021628</v>
      </c>
      <c r="O93" s="15" t="str" cm="1">
        <f ca="1" t="array" ref="O93">_xlfn.TEXTJOIN("",TRUE,CHAR(RANDBETWEEN(65,90+0*_xlfn.SEQUENCE(15))))</f>
        <v>TJWPPCURXYUGNNG</v>
      </c>
      <c r="P93" s="16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152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VZIYMDSJRQQHLNT</v>
      </c>
      <c r="F94" s="8">
        <f t="shared" si="4"/>
        <v>141</v>
      </c>
      <c r="G94" s="8">
        <f t="shared" si="6"/>
        <v>122</v>
      </c>
      <c r="H94" s="10">
        <v>0</v>
      </c>
      <c r="I94" s="8" t="s">
        <v>99</v>
      </c>
      <c r="J94" s="13">
        <v>75</v>
      </c>
      <c r="K94" s="10">
        <v>0</v>
      </c>
      <c r="L94" s="10">
        <v>10</v>
      </c>
      <c r="M94" s="10">
        <v>1</v>
      </c>
      <c r="N94" s="14">
        <v>10000148</v>
      </c>
      <c r="O94" s="15" t="str" cm="1">
        <f ca="1" t="array" ref="O94">_xlfn.TEXTJOIN("",TRUE,CHAR(RANDBETWEEN(65,90+0*_xlfn.SEQUENCE(15))))</f>
        <v>VQXTRDUXCUSQKIG</v>
      </c>
      <c r="P94" s="16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115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YURVSJDLUEFQKTS</v>
      </c>
      <c r="F95" s="8">
        <f t="shared" si="4"/>
        <v>141</v>
      </c>
      <c r="G95" s="8">
        <f t="shared" si="6"/>
        <v>122</v>
      </c>
      <c r="H95" s="10">
        <v>0</v>
      </c>
      <c r="I95" s="8" t="s">
        <v>116</v>
      </c>
      <c r="J95" s="13">
        <v>99</v>
      </c>
      <c r="K95" s="10">
        <v>0</v>
      </c>
      <c r="L95" s="10">
        <v>10</v>
      </c>
      <c r="M95" s="10">
        <v>1</v>
      </c>
      <c r="N95" s="14">
        <v>10000159</v>
      </c>
      <c r="O95" s="15" t="str" cm="1">
        <f ca="1" t="array" ref="O95">_xlfn.TEXTJOIN("",TRUE,CHAR(RANDBETWEEN(65,90+0*_xlfn.SEQUENCE(15))))</f>
        <v>RMVLCRYQNGWGSPL</v>
      </c>
      <c r="P95" s="16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153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NKBWZQZWTICQFLO</v>
      </c>
      <c r="F96" s="8">
        <f t="shared" si="4"/>
        <v>141</v>
      </c>
      <c r="G96" s="8">
        <f t="shared" si="6"/>
        <v>122</v>
      </c>
      <c r="H96" s="10">
        <v>0</v>
      </c>
      <c r="I96" s="8" t="s">
        <v>52</v>
      </c>
      <c r="J96" s="13">
        <v>80</v>
      </c>
      <c r="K96" s="10">
        <v>1</v>
      </c>
      <c r="L96" s="10">
        <v>20</v>
      </c>
      <c r="M96" s="10">
        <v>1</v>
      </c>
      <c r="N96" s="14">
        <v>10000148</v>
      </c>
      <c r="O96" s="15" t="str" cm="1">
        <f ca="1" t="array" ref="O96">_xlfn.TEXTJOIN("",TRUE,CHAR(RANDBETWEEN(65,90+0*_xlfn.SEQUENCE(15))))</f>
        <v>BWAJGFVCPIAHQJA</v>
      </c>
      <c r="P96" s="16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154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KKWTREBKPDSCIDK</v>
      </c>
      <c r="F97" s="8">
        <f t="shared" si="4"/>
        <v>141</v>
      </c>
      <c r="G97" s="8">
        <f t="shared" si="6"/>
        <v>122</v>
      </c>
      <c r="H97" s="10">
        <v>0</v>
      </c>
      <c r="I97" s="8" t="s">
        <v>52</v>
      </c>
      <c r="J97" s="13">
        <v>85</v>
      </c>
      <c r="K97" s="10">
        <v>1</v>
      </c>
      <c r="L97" s="10">
        <v>10</v>
      </c>
      <c r="M97" s="10">
        <v>1</v>
      </c>
      <c r="N97" s="14">
        <v>10000159</v>
      </c>
      <c r="O97" s="15" t="str" cm="1">
        <f ca="1" t="array" ref="O97">_xlfn.TEXTJOIN("",TRUE,CHAR(RANDBETWEEN(65,90+0*_xlfn.SEQUENCE(15))))</f>
        <v>BDVJLSBOKUZMTGU</v>
      </c>
      <c r="P97" s="16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155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EXTBKBHSEJNJSXI</v>
      </c>
      <c r="F98" s="8">
        <f t="shared" si="4"/>
        <v>141</v>
      </c>
      <c r="G98" s="8">
        <f t="shared" si="6"/>
        <v>122</v>
      </c>
      <c r="H98" s="10">
        <v>0</v>
      </c>
      <c r="I98" s="8" t="s">
        <v>52</v>
      </c>
      <c r="J98" s="13">
        <v>85</v>
      </c>
      <c r="K98" s="10">
        <v>1</v>
      </c>
      <c r="L98" s="10">
        <v>10</v>
      </c>
      <c r="M98" s="10">
        <v>1</v>
      </c>
      <c r="N98" s="14">
        <v>10000194</v>
      </c>
      <c r="O98" s="15" t="str" cm="1">
        <f ca="1" t="array" ref="O98">_xlfn.TEXTJOIN("",TRUE,CHAR(RANDBETWEEN(65,90+0*_xlfn.SEQUENCE(15))))</f>
        <v>KQAQYCILQTFJPRQ</v>
      </c>
      <c r="P98" s="16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156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GVSYEYIHLGTLYYZ</v>
      </c>
      <c r="F99" s="8">
        <f t="shared" si="4"/>
        <v>141</v>
      </c>
      <c r="G99" s="8">
        <f t="shared" si="6"/>
        <v>122</v>
      </c>
      <c r="H99" s="10">
        <v>0</v>
      </c>
      <c r="I99" s="8" t="s">
        <v>44</v>
      </c>
      <c r="J99" s="13">
        <v>50</v>
      </c>
      <c r="K99" s="10">
        <v>0</v>
      </c>
      <c r="L99" s="10">
        <v>10</v>
      </c>
      <c r="M99" s="10">
        <v>1</v>
      </c>
      <c r="N99" s="14">
        <v>10000200</v>
      </c>
      <c r="O99" s="15" t="str" cm="1">
        <f ca="1" t="array" ref="O99">_xlfn.TEXTJOIN("",TRUE,CHAR(RANDBETWEEN(65,90+0*_xlfn.SEQUENCE(15))))</f>
        <v>ILLHTHWTNXYUBTC</v>
      </c>
      <c r="P99" s="16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157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ADUPNRQCUGMEFUH</v>
      </c>
      <c r="F100" s="8">
        <f t="shared" si="4"/>
        <v>141</v>
      </c>
      <c r="G100" s="8">
        <f t="shared" si="6"/>
        <v>122</v>
      </c>
      <c r="H100" s="10">
        <v>0</v>
      </c>
      <c r="I100" s="8" t="s">
        <v>52</v>
      </c>
      <c r="J100" s="13">
        <v>100</v>
      </c>
      <c r="K100" s="10">
        <v>0</v>
      </c>
      <c r="L100" s="10">
        <v>10</v>
      </c>
      <c r="M100" s="10">
        <v>1</v>
      </c>
      <c r="N100" s="14">
        <v>40021628</v>
      </c>
      <c r="O100" s="15" t="str" cm="1">
        <f ca="1" t="array" ref="O100">_xlfn.TEXTJOIN("",TRUE,CHAR(RANDBETWEEN(65,90+0*_xlfn.SEQUENCE(15))))</f>
        <v>FZXRGWWSXNJNLCX</v>
      </c>
      <c r="P100" s="16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158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CGCFWEDOPEBPCXQ</v>
      </c>
      <c r="F101" s="8">
        <f t="shared" si="4"/>
        <v>141</v>
      </c>
      <c r="G101" s="8">
        <f t="shared" si="6"/>
        <v>122</v>
      </c>
      <c r="H101" s="10">
        <v>0</v>
      </c>
      <c r="I101" s="8" t="s">
        <v>159</v>
      </c>
      <c r="J101" s="13">
        <v>270</v>
      </c>
      <c r="K101" s="10">
        <v>0</v>
      </c>
      <c r="L101" s="10">
        <v>5</v>
      </c>
      <c r="M101" s="10">
        <v>1</v>
      </c>
      <c r="N101" s="14">
        <v>10000148</v>
      </c>
      <c r="O101" s="15" t="str" cm="1">
        <f ca="1" t="array" ref="O101">_xlfn.TEXTJOIN("",TRUE,CHAR(RANDBETWEEN(65,90+0*_xlfn.SEQUENCE(15))))</f>
        <v>NVZQVQGNWDMBQKW</v>
      </c>
      <c r="P101" s="16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160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FGLFYUTDTFOWVPY</v>
      </c>
      <c r="F102" s="8">
        <f t="shared" si="4"/>
        <v>141</v>
      </c>
      <c r="G102" s="8">
        <f t="shared" si="6"/>
        <v>122</v>
      </c>
      <c r="H102" s="10">
        <v>0</v>
      </c>
      <c r="I102" s="8" t="s">
        <v>44</v>
      </c>
      <c r="J102" s="13">
        <v>50</v>
      </c>
      <c r="K102" s="10">
        <v>0</v>
      </c>
      <c r="L102" s="10">
        <v>5</v>
      </c>
      <c r="M102" s="10">
        <v>1</v>
      </c>
      <c r="N102" s="14">
        <v>10000159</v>
      </c>
      <c r="O102" s="15" t="str" cm="1">
        <f ca="1" t="array" ref="O102">_xlfn.TEXTJOIN("",TRUE,CHAR(RANDBETWEEN(65,90+0*_xlfn.SEQUENCE(15))))</f>
        <v>VLPCIRURYWPPUHV</v>
      </c>
      <c r="P102" s="16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161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QKKCJQXZCCGXMRS</v>
      </c>
      <c r="F103" s="8">
        <f t="shared" si="4"/>
        <v>141</v>
      </c>
      <c r="G103" s="8">
        <f t="shared" si="6"/>
        <v>122</v>
      </c>
      <c r="H103" s="10">
        <v>0</v>
      </c>
      <c r="I103" s="8" t="s">
        <v>146</v>
      </c>
      <c r="J103" s="13">
        <v>160</v>
      </c>
      <c r="K103" s="10">
        <v>0</v>
      </c>
      <c r="L103" s="10">
        <v>5</v>
      </c>
      <c r="M103" s="10">
        <v>1</v>
      </c>
      <c r="N103" s="14">
        <v>10000194</v>
      </c>
      <c r="O103" s="15" t="str" cm="1">
        <f ca="1" t="array" ref="O103">_xlfn.TEXTJOIN("",TRUE,CHAR(RANDBETWEEN(65,90+0*_xlfn.SEQUENCE(15))))</f>
        <v>LMBPNZTZKCTSJPS</v>
      </c>
      <c r="P103" s="16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162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MLZWWOKWJBUASCJ</v>
      </c>
      <c r="F104" s="8">
        <f t="shared" si="4"/>
        <v>141</v>
      </c>
      <c r="G104" s="8">
        <f t="shared" si="6"/>
        <v>122</v>
      </c>
      <c r="H104" s="10">
        <v>0</v>
      </c>
      <c r="I104" s="8" t="s">
        <v>52</v>
      </c>
      <c r="J104" s="13">
        <v>90</v>
      </c>
      <c r="K104" s="10">
        <v>0</v>
      </c>
      <c r="L104" s="10">
        <v>5</v>
      </c>
      <c r="M104" s="10">
        <v>1</v>
      </c>
      <c r="N104" s="14">
        <v>10000148</v>
      </c>
      <c r="O104" s="15" t="str" cm="1">
        <f ca="1" t="array" ref="O104">_xlfn.TEXTJOIN("",TRUE,CHAR(RANDBETWEEN(65,90+0*_xlfn.SEQUENCE(15))))</f>
        <v>RWBAVFFRZXMWCVW</v>
      </c>
      <c r="P104" s="16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163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MKRTEKLMIFPLQLP</v>
      </c>
      <c r="F105" s="8">
        <f t="shared" si="4"/>
        <v>141</v>
      </c>
      <c r="G105" s="8">
        <f t="shared" si="6"/>
        <v>122</v>
      </c>
      <c r="H105" s="10">
        <v>0</v>
      </c>
      <c r="I105" s="8" t="s">
        <v>146</v>
      </c>
      <c r="J105" s="13">
        <v>160</v>
      </c>
      <c r="K105" s="10">
        <v>0</v>
      </c>
      <c r="L105" s="10">
        <v>5</v>
      </c>
      <c r="M105" s="10">
        <v>1</v>
      </c>
      <c r="N105" s="14">
        <v>10000159</v>
      </c>
      <c r="O105" s="15" t="str" cm="1">
        <f ca="1" t="array" ref="O105">_xlfn.TEXTJOIN("",TRUE,CHAR(RANDBETWEEN(65,90+0*_xlfn.SEQUENCE(15))))</f>
        <v>VSPOIGJEHFZCTWX</v>
      </c>
      <c r="P105" s="16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164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HBJAQISEDABQEXC</v>
      </c>
      <c r="F106" s="8">
        <f t="shared" si="4"/>
        <v>141</v>
      </c>
      <c r="G106" s="8">
        <f t="shared" si="6"/>
        <v>122</v>
      </c>
      <c r="H106" s="10">
        <v>0</v>
      </c>
      <c r="I106" s="8" t="s">
        <v>142</v>
      </c>
      <c r="J106" s="13">
        <v>90</v>
      </c>
      <c r="K106" s="10">
        <v>0</v>
      </c>
      <c r="L106" s="10">
        <v>10</v>
      </c>
      <c r="M106" s="10">
        <v>1</v>
      </c>
      <c r="N106" s="14">
        <v>10000194</v>
      </c>
      <c r="O106" s="15" t="str" cm="1">
        <f ca="1" t="array" ref="O106">_xlfn.TEXTJOIN("",TRUE,CHAR(RANDBETWEEN(65,90+0*_xlfn.SEQUENCE(15))))</f>
        <v>BXLJAQKFXXBUJXR</v>
      </c>
      <c r="P106" s="16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165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ATTLUYYTXIZPEIQ</v>
      </c>
      <c r="F107" s="8">
        <f t="shared" si="4"/>
        <v>141</v>
      </c>
      <c r="G107" s="8">
        <f t="shared" si="6"/>
        <v>122</v>
      </c>
      <c r="H107" s="10">
        <v>0</v>
      </c>
      <c r="I107" s="8" t="s">
        <v>52</v>
      </c>
      <c r="J107" s="13">
        <v>85</v>
      </c>
      <c r="K107" s="10">
        <v>2</v>
      </c>
      <c r="L107" s="10">
        <v>20</v>
      </c>
      <c r="M107" s="10">
        <v>1</v>
      </c>
      <c r="N107" s="14">
        <v>10000200</v>
      </c>
      <c r="O107" s="15" t="str" cm="1">
        <f ca="1" t="array" ref="O107">_xlfn.TEXTJOIN("",TRUE,CHAR(RANDBETWEEN(65,90+0*_xlfn.SEQUENCE(15))))</f>
        <v>DJTLJWFOCRLMJZV</v>
      </c>
      <c r="P107" s="16">
        <v>1</v>
      </c>
      <c r="Q107" s="2" t="s">
        <v>29</v>
      </c>
      <c r="R107" s="2" t="s">
        <v>30</v>
      </c>
      <c r="S107" s="8">
        <v>1</v>
      </c>
      <c r="T107" s="8">
        <v>1</v>
      </c>
      <c r="U107" s="8">
        <v>1</v>
      </c>
      <c r="V107" s="8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166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QOEQNKWOQJNMPSO</v>
      </c>
      <c r="F108" s="8">
        <f t="shared" si="4"/>
        <v>141</v>
      </c>
      <c r="G108" s="8">
        <f t="shared" si="6"/>
        <v>122</v>
      </c>
      <c r="H108" s="10">
        <v>0</v>
      </c>
      <c r="I108" s="8" t="s">
        <v>159</v>
      </c>
      <c r="J108" s="13">
        <v>90</v>
      </c>
      <c r="K108" s="10">
        <v>2</v>
      </c>
      <c r="L108" s="10">
        <v>20</v>
      </c>
      <c r="M108" s="10">
        <v>1</v>
      </c>
      <c r="N108" s="14">
        <v>40021628</v>
      </c>
      <c r="O108" s="15" t="str" cm="1">
        <f ca="1" t="array" ref="O108">_xlfn.TEXTJOIN("",TRUE,CHAR(RANDBETWEEN(65,90+0*_xlfn.SEQUENCE(15))))</f>
        <v>RJHVZZJYVCLLQJD</v>
      </c>
      <c r="P108" s="16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167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VPNFSJIGFTQEQKX</v>
      </c>
      <c r="F109" s="8">
        <f t="shared" si="4"/>
        <v>141</v>
      </c>
      <c r="G109" s="8">
        <f t="shared" si="6"/>
        <v>122</v>
      </c>
      <c r="H109" s="10">
        <v>0</v>
      </c>
      <c r="I109" s="8" t="s">
        <v>28</v>
      </c>
      <c r="J109" s="13">
        <v>990</v>
      </c>
      <c r="K109" s="10">
        <v>2</v>
      </c>
      <c r="L109" s="10">
        <v>10</v>
      </c>
      <c r="M109" s="10">
        <v>1</v>
      </c>
      <c r="N109" s="14">
        <v>10000148</v>
      </c>
      <c r="O109" s="15" t="str" cm="1">
        <f ca="1" t="array" ref="O109">_xlfn.TEXTJOIN("",TRUE,CHAR(RANDBETWEEN(65,90+0*_xlfn.SEQUENCE(15))))</f>
        <v>MWGOEMXCSUGQBKI</v>
      </c>
      <c r="P109" s="16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2:18">
      <c r="B110" s="8"/>
      <c r="C110" s="9"/>
      <c r="D110" s="9"/>
      <c r="E110" s="8"/>
      <c r="F110" s="8"/>
      <c r="G110" s="8"/>
      <c r="H110" s="10"/>
      <c r="I110" s="8"/>
      <c r="J110" s="13"/>
      <c r="K110" s="10"/>
      <c r="L110" s="10"/>
      <c r="M110" s="10"/>
      <c r="N110" s="14"/>
      <c r="O110" s="15"/>
      <c r="P110" s="16"/>
      <c r="R110" s="2"/>
    </row>
    <row r="111" ht="15.6" spans="2:18">
      <c r="B111" s="8"/>
      <c r="C111" s="9"/>
      <c r="D111" s="9"/>
      <c r="E111" s="8"/>
      <c r="F111" s="8"/>
      <c r="G111" s="8"/>
      <c r="H111" s="10"/>
      <c r="I111" s="8"/>
      <c r="J111" s="13"/>
      <c r="K111" s="10"/>
      <c r="L111" s="10"/>
      <c r="M111" s="10"/>
      <c r="N111" s="14"/>
      <c r="O111" s="15"/>
      <c r="P111" s="16"/>
      <c r="R111" s="2"/>
    </row>
    <row r="112" ht="15.6" spans="2:18">
      <c r="B112" s="8"/>
      <c r="C112" s="9"/>
      <c r="D112" s="9"/>
      <c r="E112" s="8"/>
      <c r="F112" s="8"/>
      <c r="G112" s="8"/>
      <c r="H112" s="10"/>
      <c r="I112" s="8"/>
      <c r="J112" s="13"/>
      <c r="K112" s="10"/>
      <c r="L112" s="10"/>
      <c r="M112" s="10"/>
      <c r="N112" s="14"/>
      <c r="O112" s="15"/>
      <c r="P112" s="16"/>
      <c r="R112" s="2"/>
    </row>
    <row r="113" ht="15.6" spans="2:18">
      <c r="B113" s="8"/>
      <c r="C113" s="9"/>
      <c r="D113" s="9"/>
      <c r="E113" s="8"/>
      <c r="F113" s="8"/>
      <c r="H113" s="10"/>
      <c r="I113" s="8"/>
      <c r="J113" s="13"/>
      <c r="K113" s="10"/>
      <c r="L113" s="10"/>
      <c r="M113" s="10"/>
      <c r="N113" s="14"/>
      <c r="O113" s="15"/>
      <c r="P113" s="16"/>
      <c r="R113" s="2"/>
    </row>
    <row r="114" ht="15.6" spans="2:18">
      <c r="B114" s="8"/>
      <c r="C114" s="9"/>
      <c r="D114" s="9"/>
      <c r="E114" s="8"/>
      <c r="F114" s="8"/>
      <c r="H114" s="10"/>
      <c r="I114" s="8"/>
      <c r="J114" s="13"/>
      <c r="K114" s="10"/>
      <c r="L114" s="10"/>
      <c r="M114" s="10"/>
      <c r="N114" s="14"/>
      <c r="O114" s="15"/>
      <c r="P114" s="16"/>
      <c r="R114" s="2"/>
    </row>
    <row r="115" ht="15.6" spans="2:18">
      <c r="B115" s="8"/>
      <c r="C115" s="9"/>
      <c r="D115" s="9"/>
      <c r="E115" s="8"/>
      <c r="F115" s="8"/>
      <c r="H115" s="10"/>
      <c r="I115" s="8"/>
      <c r="J115" s="13"/>
      <c r="K115" s="10"/>
      <c r="L115" s="10"/>
      <c r="M115" s="10"/>
      <c r="N115" s="14"/>
      <c r="O115" s="15"/>
      <c r="P115" s="16"/>
      <c r="R115" s="2"/>
    </row>
    <row r="116" ht="15.6" spans="2:18">
      <c r="B116" s="8"/>
      <c r="C116" s="9"/>
      <c r="D116" s="9"/>
      <c r="E116" s="8"/>
      <c r="F116" s="8"/>
      <c r="H116" s="10"/>
      <c r="I116" s="8"/>
      <c r="J116" s="13"/>
      <c r="K116" s="10"/>
      <c r="L116" s="10"/>
      <c r="M116" s="10"/>
      <c r="N116" s="14"/>
      <c r="O116" s="15"/>
      <c r="P116" s="16"/>
      <c r="R116" s="2"/>
    </row>
    <row r="117" ht="15.6" spans="2:18">
      <c r="B117" s="8"/>
      <c r="C117" s="9"/>
      <c r="D117" s="9"/>
      <c r="E117" s="8"/>
      <c r="F117" s="8"/>
      <c r="H117" s="10"/>
      <c r="I117" s="8"/>
      <c r="J117" s="13"/>
      <c r="K117" s="10"/>
      <c r="L117" s="10"/>
      <c r="M117" s="10"/>
      <c r="N117" s="14"/>
      <c r="O117" s="15"/>
      <c r="P117" s="16"/>
      <c r="R117" s="2"/>
    </row>
    <row r="118" ht="15.6" spans="2:18">
      <c r="B118" s="8"/>
      <c r="C118" s="9"/>
      <c r="D118" s="9"/>
      <c r="E118" s="8"/>
      <c r="F118" s="8"/>
      <c r="H118" s="10"/>
      <c r="I118" s="8"/>
      <c r="J118" s="13"/>
      <c r="K118" s="10"/>
      <c r="L118" s="10"/>
      <c r="M118" s="10"/>
      <c r="N118" s="14"/>
      <c r="O118" s="15"/>
      <c r="P118" s="16"/>
      <c r="R118" s="2"/>
    </row>
    <row r="119" ht="15.6" spans="2:18">
      <c r="B119" s="8"/>
      <c r="C119" s="9"/>
      <c r="D119" s="9"/>
      <c r="E119" s="8"/>
      <c r="F119" s="8"/>
      <c r="H119" s="10"/>
      <c r="I119" s="8"/>
      <c r="J119" s="13"/>
      <c r="K119" s="10"/>
      <c r="L119" s="10"/>
      <c r="M119" s="10"/>
      <c r="N119" s="14"/>
      <c r="O119" s="15"/>
      <c r="P119" s="16"/>
      <c r="R119" s="2"/>
    </row>
    <row r="120" ht="15.6" spans="2:18">
      <c r="B120" s="8"/>
      <c r="C120" s="9"/>
      <c r="D120" s="9"/>
      <c r="E120" s="8"/>
      <c r="F120" s="8"/>
      <c r="H120" s="10"/>
      <c r="I120" s="8"/>
      <c r="J120" s="13"/>
      <c r="K120" s="10"/>
      <c r="L120" s="10"/>
      <c r="M120" s="10"/>
      <c r="N120" s="14"/>
      <c r="O120" s="15"/>
      <c r="P120" s="16"/>
      <c r="R120" s="2"/>
    </row>
    <row r="121" ht="15.6" spans="2:18">
      <c r="B121" s="8"/>
      <c r="C121" s="9"/>
      <c r="D121" s="9"/>
      <c r="E121" s="8"/>
      <c r="F121" s="8"/>
      <c r="H121" s="10"/>
      <c r="I121" s="8"/>
      <c r="J121" s="13"/>
      <c r="K121" s="10"/>
      <c r="L121" s="10"/>
      <c r="M121" s="10"/>
      <c r="N121" s="14"/>
      <c r="O121" s="15"/>
      <c r="P121" s="16"/>
      <c r="R121" s="2"/>
    </row>
    <row r="122" ht="15.6" spans="2:18">
      <c r="B122" s="8"/>
      <c r="C122" s="9"/>
      <c r="D122" s="9"/>
      <c r="E122" s="8"/>
      <c r="F122" s="8"/>
      <c r="H122" s="10"/>
      <c r="I122" s="8"/>
      <c r="J122" s="13"/>
      <c r="K122" s="10"/>
      <c r="L122" s="10"/>
      <c r="M122" s="10"/>
      <c r="N122" s="14"/>
      <c r="O122" s="15"/>
      <c r="P122" s="16"/>
      <c r="R122" s="2"/>
    </row>
    <row r="123" ht="15.6" spans="2:18">
      <c r="B123" s="8"/>
      <c r="C123" s="9"/>
      <c r="D123" s="9"/>
      <c r="E123" s="8"/>
      <c r="F123" s="8"/>
      <c r="H123" s="10"/>
      <c r="I123" s="8"/>
      <c r="J123" s="13"/>
      <c r="K123" s="10"/>
      <c r="L123" s="10"/>
      <c r="M123" s="10"/>
      <c r="N123" s="14"/>
      <c r="O123" s="15"/>
      <c r="P123" s="16"/>
      <c r="R123" s="2"/>
    </row>
    <row r="124" ht="15.6" spans="2:18">
      <c r="B124" s="8"/>
      <c r="C124" s="9"/>
      <c r="D124" s="9"/>
      <c r="E124" s="8"/>
      <c r="F124" s="8"/>
      <c r="H124" s="10"/>
      <c r="I124" s="8"/>
      <c r="J124" s="13"/>
      <c r="K124" s="10"/>
      <c r="L124" s="10"/>
      <c r="M124" s="10"/>
      <c r="N124" s="14"/>
      <c r="O124" s="15"/>
      <c r="P124" s="16"/>
      <c r="R124" s="2"/>
    </row>
    <row r="125" ht="15.6" spans="2:18">
      <c r="B125" s="8"/>
      <c r="C125" s="9"/>
      <c r="D125" s="9"/>
      <c r="E125" s="8"/>
      <c r="F125" s="8"/>
      <c r="H125" s="10"/>
      <c r="I125" s="8"/>
      <c r="J125" s="13"/>
      <c r="K125" s="10"/>
      <c r="L125" s="10"/>
      <c r="M125" s="10"/>
      <c r="N125" s="14"/>
      <c r="O125" s="15"/>
      <c r="P125" s="16"/>
      <c r="R125" s="2"/>
    </row>
    <row r="126" ht="15.6" spans="2:18">
      <c r="B126" s="8"/>
      <c r="C126" s="9"/>
      <c r="D126" s="9"/>
      <c r="E126" s="8"/>
      <c r="F126" s="8"/>
      <c r="H126" s="10"/>
      <c r="I126" s="8"/>
      <c r="J126" s="13"/>
      <c r="K126" s="10"/>
      <c r="L126" s="10"/>
      <c r="M126" s="10"/>
      <c r="N126" s="14"/>
      <c r="O126" s="15"/>
      <c r="P126" s="16"/>
      <c r="R126" s="2"/>
    </row>
    <row r="127" ht="15.6" spans="2:22">
      <c r="B127" s="8"/>
      <c r="C127" s="9"/>
      <c r="D127" s="9"/>
      <c r="E127" s="8"/>
      <c r="F127" s="8"/>
      <c r="H127" s="10"/>
      <c r="I127" s="8"/>
      <c r="J127" s="13"/>
      <c r="K127" s="10"/>
      <c r="L127" s="10"/>
      <c r="M127" s="10"/>
      <c r="N127" s="14"/>
      <c r="O127" s="15"/>
      <c r="P127" s="16"/>
      <c r="R127" s="2"/>
      <c r="S127" s="8"/>
      <c r="T127" s="8"/>
      <c r="U127" s="8"/>
      <c r="V127" s="8"/>
    </row>
    <row r="128" ht="15.6" spans="2:18">
      <c r="B128" s="8"/>
      <c r="C128" s="9"/>
      <c r="D128" s="9"/>
      <c r="E128" s="8"/>
      <c r="F128" s="8"/>
      <c r="H128" s="10"/>
      <c r="I128" s="8"/>
      <c r="J128" s="13"/>
      <c r="K128" s="10"/>
      <c r="L128" s="10"/>
      <c r="M128" s="10"/>
      <c r="N128" s="14"/>
      <c r="O128" s="15"/>
      <c r="P128" s="16"/>
      <c r="R128" s="2"/>
    </row>
    <row r="129" ht="15.6" spans="2:18">
      <c r="B129" s="8"/>
      <c r="C129" s="9"/>
      <c r="D129" s="9"/>
      <c r="E129" s="8"/>
      <c r="F129" s="8"/>
      <c r="H129" s="10"/>
      <c r="I129" s="8"/>
      <c r="J129" s="13"/>
      <c r="K129" s="10"/>
      <c r="L129" s="10"/>
      <c r="M129" s="10"/>
      <c r="N129" s="14"/>
      <c r="O129" s="15"/>
      <c r="P129" s="16"/>
      <c r="R129" s="2"/>
    </row>
    <row r="130" ht="15.6" spans="2:18">
      <c r="B130" s="8"/>
      <c r="C130" s="9"/>
      <c r="D130" s="9"/>
      <c r="E130" s="8"/>
      <c r="F130" s="8"/>
      <c r="H130" s="10"/>
      <c r="I130" s="8"/>
      <c r="J130" s="13"/>
      <c r="K130" s="10"/>
      <c r="L130" s="10"/>
      <c r="M130" s="10"/>
      <c r="N130" s="14"/>
      <c r="O130" s="15"/>
      <c r="P130" s="16"/>
      <c r="R130" s="2"/>
    </row>
    <row r="131" ht="15.6" spans="2:18">
      <c r="B131" s="8"/>
      <c r="C131" s="9"/>
      <c r="D131" s="9"/>
      <c r="E131" s="8"/>
      <c r="F131" s="8"/>
      <c r="H131" s="10"/>
      <c r="I131" s="8"/>
      <c r="J131" s="13"/>
      <c r="K131" s="10"/>
      <c r="L131" s="10"/>
      <c r="M131" s="10"/>
      <c r="N131" s="14"/>
      <c r="O131" s="15"/>
      <c r="P131" s="16"/>
      <c r="R131" s="2"/>
    </row>
    <row r="132" ht="15.6" spans="2:18">
      <c r="B132" s="8"/>
      <c r="C132" s="9"/>
      <c r="D132" s="9"/>
      <c r="E132" s="8"/>
      <c r="F132" s="8"/>
      <c r="H132" s="10"/>
      <c r="I132" s="8"/>
      <c r="J132" s="13"/>
      <c r="K132" s="10"/>
      <c r="L132" s="10"/>
      <c r="M132" s="10"/>
      <c r="N132" s="14"/>
      <c r="O132" s="15"/>
      <c r="P132" s="16"/>
      <c r="R132" s="2"/>
    </row>
    <row r="133" ht="15.6" spans="2:18">
      <c r="B133" s="8"/>
      <c r="C133" s="9"/>
      <c r="D133" s="9"/>
      <c r="E133" s="8"/>
      <c r="F133" s="8"/>
      <c r="H133" s="10"/>
      <c r="I133" s="8"/>
      <c r="J133" s="13"/>
      <c r="K133" s="10"/>
      <c r="L133" s="10"/>
      <c r="M133" s="10"/>
      <c r="N133" s="14"/>
      <c r="O133" s="15"/>
      <c r="P133" s="16"/>
      <c r="R133" s="2"/>
    </row>
    <row r="134" ht="15.6" spans="2:18">
      <c r="B134" s="8"/>
      <c r="C134" s="9"/>
      <c r="D134" s="9"/>
      <c r="E134" s="8"/>
      <c r="F134" s="8"/>
      <c r="H134" s="10"/>
      <c r="I134" s="8"/>
      <c r="J134" s="13"/>
      <c r="K134" s="10"/>
      <c r="L134" s="10"/>
      <c r="M134" s="10"/>
      <c r="N134" s="14"/>
      <c r="O134" s="15"/>
      <c r="P134" s="16"/>
      <c r="R134" s="2"/>
    </row>
    <row r="135" ht="15.6" spans="2:18">
      <c r="B135" s="8"/>
      <c r="C135" s="9"/>
      <c r="D135" s="9"/>
      <c r="E135" s="8"/>
      <c r="F135" s="8"/>
      <c r="H135" s="10"/>
      <c r="I135" s="8"/>
      <c r="J135" s="13"/>
      <c r="K135" s="10"/>
      <c r="L135" s="10"/>
      <c r="M135" s="10"/>
      <c r="N135" s="14"/>
      <c r="O135" s="15"/>
      <c r="P135" s="16"/>
      <c r="R135" s="2"/>
    </row>
    <row r="136" ht="15.6" spans="2:18">
      <c r="B136" s="8"/>
      <c r="C136" s="9"/>
      <c r="D136" s="9"/>
      <c r="E136" s="8"/>
      <c r="F136" s="8"/>
      <c r="H136" s="10"/>
      <c r="I136" s="8"/>
      <c r="J136" s="13"/>
      <c r="K136" s="10"/>
      <c r="L136" s="10"/>
      <c r="M136" s="10"/>
      <c r="N136" s="14"/>
      <c r="O136" s="15"/>
      <c r="P136" s="16"/>
      <c r="R136" s="2"/>
    </row>
    <row r="137" ht="15.6" spans="2:18">
      <c r="B137" s="8"/>
      <c r="C137" s="9"/>
      <c r="D137" s="9"/>
      <c r="E137" s="8"/>
      <c r="F137" s="8"/>
      <c r="H137" s="10"/>
      <c r="I137" s="8"/>
      <c r="J137" s="13"/>
      <c r="K137" s="10"/>
      <c r="L137" s="10"/>
      <c r="M137" s="10"/>
      <c r="N137" s="14"/>
      <c r="O137" s="15"/>
      <c r="P137" s="16"/>
      <c r="R137" s="2"/>
    </row>
    <row r="138" ht="15.6" spans="2:18">
      <c r="B138" s="8"/>
      <c r="C138" s="9"/>
      <c r="D138" s="9"/>
      <c r="E138" s="8"/>
      <c r="F138" s="8"/>
      <c r="H138" s="10"/>
      <c r="I138" s="8"/>
      <c r="J138" s="13"/>
      <c r="K138" s="10"/>
      <c r="L138" s="10"/>
      <c r="M138" s="10"/>
      <c r="N138" s="14"/>
      <c r="O138" s="15"/>
      <c r="P138" s="16"/>
      <c r="R138" s="2"/>
    </row>
    <row r="139" ht="15.6" spans="2:22">
      <c r="B139" s="8"/>
      <c r="C139" s="9"/>
      <c r="D139" s="9"/>
      <c r="E139" s="8"/>
      <c r="F139" s="8"/>
      <c r="H139" s="10"/>
      <c r="I139" s="8"/>
      <c r="J139" s="13"/>
      <c r="K139" s="10"/>
      <c r="L139" s="10"/>
      <c r="M139" s="10"/>
      <c r="N139" s="14"/>
      <c r="O139" s="15"/>
      <c r="P139" s="16"/>
      <c r="R139" s="2"/>
      <c r="S139" s="8"/>
      <c r="T139" s="8"/>
      <c r="U139" s="8"/>
      <c r="V139" s="8"/>
    </row>
    <row r="140" ht="15.6" spans="2:18">
      <c r="B140" s="8"/>
      <c r="C140" s="9"/>
      <c r="D140" s="9"/>
      <c r="E140" s="8"/>
      <c r="F140" s="8"/>
      <c r="H140" s="10"/>
      <c r="I140" s="8"/>
      <c r="J140" s="13"/>
      <c r="K140" s="10"/>
      <c r="L140" s="10"/>
      <c r="M140" s="10"/>
      <c r="N140" s="14"/>
      <c r="O140" s="15"/>
      <c r="P140" s="16"/>
      <c r="R140" s="2"/>
    </row>
    <row r="141" ht="15.6" spans="2:18">
      <c r="B141" s="8"/>
      <c r="C141" s="9"/>
      <c r="D141" s="9"/>
      <c r="E141" s="8"/>
      <c r="F141" s="8"/>
      <c r="H141" s="10"/>
      <c r="I141" s="8"/>
      <c r="J141" s="13"/>
      <c r="K141" s="10"/>
      <c r="L141" s="10"/>
      <c r="M141" s="10"/>
      <c r="N141" s="14"/>
      <c r="O141" s="15"/>
      <c r="P141" s="16"/>
      <c r="R141" s="2"/>
    </row>
    <row r="142" ht="15.6" spans="2:18">
      <c r="B142" s="8"/>
      <c r="C142" s="9"/>
      <c r="D142" s="9"/>
      <c r="E142" s="8"/>
      <c r="F142" s="8"/>
      <c r="H142" s="10"/>
      <c r="I142" s="8"/>
      <c r="J142" s="13"/>
      <c r="K142" s="10"/>
      <c r="L142" s="10"/>
      <c r="M142" s="10"/>
      <c r="N142" s="14"/>
      <c r="O142" s="15"/>
      <c r="P142" s="16"/>
      <c r="R142" s="2"/>
    </row>
    <row r="143" ht="15.6" spans="2:18">
      <c r="B143" s="8"/>
      <c r="C143" s="9"/>
      <c r="D143" s="9"/>
      <c r="E143" s="8"/>
      <c r="F143" s="8"/>
      <c r="H143" s="10"/>
      <c r="I143" s="8"/>
      <c r="J143" s="13"/>
      <c r="K143" s="10"/>
      <c r="L143" s="10"/>
      <c r="M143" s="10"/>
      <c r="N143" s="14"/>
      <c r="O143" s="15"/>
      <c r="P143" s="16"/>
      <c r="R143" s="2"/>
    </row>
    <row r="144" ht="15.6" spans="2:18">
      <c r="B144" s="8"/>
      <c r="C144" s="9"/>
      <c r="D144" s="9"/>
      <c r="E144" s="8"/>
      <c r="F144" s="8"/>
      <c r="H144" s="10"/>
      <c r="I144" s="8"/>
      <c r="J144" s="13"/>
      <c r="K144" s="10"/>
      <c r="L144" s="10"/>
      <c r="M144" s="10"/>
      <c r="N144" s="14"/>
      <c r="O144" s="15"/>
      <c r="P144" s="16"/>
      <c r="R144" s="2"/>
    </row>
    <row r="145" ht="15.6" spans="2:18">
      <c r="B145" s="8"/>
      <c r="C145" s="9"/>
      <c r="D145" s="9"/>
      <c r="E145" s="8"/>
      <c r="F145" s="8"/>
      <c r="H145" s="10"/>
      <c r="I145" s="8"/>
      <c r="J145" s="13"/>
      <c r="K145" s="10"/>
      <c r="L145" s="10"/>
      <c r="M145" s="10"/>
      <c r="N145" s="14"/>
      <c r="O145" s="15"/>
      <c r="P145" s="16"/>
      <c r="R145" s="2"/>
    </row>
    <row r="146" ht="15.6" spans="2:18">
      <c r="B146" s="8"/>
      <c r="C146" s="9"/>
      <c r="D146" s="9"/>
      <c r="E146" s="8"/>
      <c r="F146" s="8"/>
      <c r="H146" s="10"/>
      <c r="I146" s="8"/>
      <c r="J146" s="13"/>
      <c r="K146" s="10"/>
      <c r="L146" s="10"/>
      <c r="M146" s="10"/>
      <c r="N146" s="14"/>
      <c r="O146" s="15"/>
      <c r="P146" s="16"/>
      <c r="R146" s="2"/>
    </row>
    <row r="147" ht="15.6" spans="2:18">
      <c r="B147" s="8"/>
      <c r="C147" s="9"/>
      <c r="D147" s="9"/>
      <c r="E147" s="8"/>
      <c r="F147" s="8"/>
      <c r="H147" s="10"/>
      <c r="I147" s="8"/>
      <c r="J147" s="13"/>
      <c r="K147" s="10"/>
      <c r="L147" s="10"/>
      <c r="M147" s="10"/>
      <c r="N147" s="14"/>
      <c r="O147" s="15"/>
      <c r="P147" s="16"/>
      <c r="R147" s="2"/>
    </row>
    <row r="148" ht="15.6" spans="2:18">
      <c r="B148" s="8"/>
      <c r="C148" s="9"/>
      <c r="D148" s="9"/>
      <c r="E148" s="8"/>
      <c r="F148" s="8"/>
      <c r="H148" s="10"/>
      <c r="I148" s="8"/>
      <c r="J148" s="13"/>
      <c r="K148" s="10"/>
      <c r="L148" s="10"/>
      <c r="M148" s="10"/>
      <c r="N148" s="14"/>
      <c r="O148" s="15"/>
      <c r="P148" s="16"/>
      <c r="R148" s="2"/>
    </row>
    <row r="149" ht="15.6" spans="2:18">
      <c r="B149" s="8"/>
      <c r="C149" s="9"/>
      <c r="D149" s="9"/>
      <c r="E149" s="8"/>
      <c r="F149" s="8"/>
      <c r="H149" s="10"/>
      <c r="I149" s="8"/>
      <c r="J149" s="13"/>
      <c r="K149" s="10"/>
      <c r="L149" s="10"/>
      <c r="M149" s="10"/>
      <c r="N149" s="14"/>
      <c r="O149" s="15"/>
      <c r="P149" s="16"/>
      <c r="R149" s="2"/>
    </row>
    <row r="150" ht="15.6" spans="2:18">
      <c r="B150" s="8"/>
      <c r="C150" s="9"/>
      <c r="D150" s="9"/>
      <c r="E150" s="8"/>
      <c r="F150" s="8"/>
      <c r="H150" s="10"/>
      <c r="I150" s="8"/>
      <c r="J150" s="13"/>
      <c r="K150" s="10"/>
      <c r="L150" s="10"/>
      <c r="M150" s="10"/>
      <c r="N150" s="14"/>
      <c r="O150" s="15"/>
      <c r="P150" s="16"/>
      <c r="R150" s="2"/>
    </row>
    <row r="151" ht="15.6" spans="2:18">
      <c r="B151" s="8"/>
      <c r="C151" s="9"/>
      <c r="D151" s="9"/>
      <c r="E151" s="8"/>
      <c r="F151" s="8"/>
      <c r="H151" s="10"/>
      <c r="I151" s="8"/>
      <c r="J151" s="13"/>
      <c r="K151" s="10"/>
      <c r="L151" s="10"/>
      <c r="M151" s="10"/>
      <c r="N151" s="14"/>
      <c r="O151" s="15"/>
      <c r="P151" s="16"/>
      <c r="R151" s="2"/>
    </row>
    <row r="152" ht="15.6" spans="2:18">
      <c r="B152" s="8"/>
      <c r="C152" s="9"/>
      <c r="D152" s="9"/>
      <c r="E152" s="8"/>
      <c r="F152" s="8"/>
      <c r="H152" s="10"/>
      <c r="I152" s="8"/>
      <c r="J152" s="13"/>
      <c r="K152" s="10"/>
      <c r="L152" s="10"/>
      <c r="M152" s="10"/>
      <c r="N152" s="14"/>
      <c r="O152" s="15"/>
      <c r="P152" s="16"/>
      <c r="R152" s="2"/>
    </row>
    <row r="153" ht="15.6" spans="2:18">
      <c r="B153" s="8"/>
      <c r="C153" s="9"/>
      <c r="D153" s="9"/>
      <c r="E153" s="8"/>
      <c r="F153" s="8"/>
      <c r="H153" s="10"/>
      <c r="I153" s="8"/>
      <c r="J153" s="13"/>
      <c r="K153" s="10"/>
      <c r="L153" s="10"/>
      <c r="M153" s="10"/>
      <c r="N153" s="14"/>
      <c r="O153" s="15"/>
      <c r="P153" s="16"/>
      <c r="R153" s="2"/>
    </row>
    <row r="154" ht="15.6" spans="2:18">
      <c r="B154" s="8"/>
      <c r="C154" s="9"/>
      <c r="D154" s="9"/>
      <c r="E154" s="8"/>
      <c r="F154" s="8"/>
      <c r="H154" s="10"/>
      <c r="I154" s="8"/>
      <c r="J154" s="13"/>
      <c r="K154" s="10"/>
      <c r="L154" s="10"/>
      <c r="M154" s="10"/>
      <c r="N154" s="14"/>
      <c r="O154" s="15"/>
      <c r="P154" s="16"/>
      <c r="R154" s="2"/>
    </row>
    <row r="155" ht="15.6" spans="2:18">
      <c r="B155" s="8"/>
      <c r="C155" s="9"/>
      <c r="D155" s="9"/>
      <c r="E155" s="8"/>
      <c r="F155" s="8"/>
      <c r="H155" s="10"/>
      <c r="I155" s="8"/>
      <c r="J155" s="13"/>
      <c r="K155" s="10"/>
      <c r="L155" s="10"/>
      <c r="M155" s="10"/>
      <c r="N155" s="14"/>
      <c r="O155" s="15"/>
      <c r="P155" s="16"/>
      <c r="R155" s="2"/>
    </row>
    <row r="156" ht="15.6" spans="2:18">
      <c r="B156" s="8"/>
      <c r="C156" s="9"/>
      <c r="D156" s="9"/>
      <c r="E156" s="8"/>
      <c r="F156" s="8"/>
      <c r="H156" s="10"/>
      <c r="I156" s="8"/>
      <c r="J156" s="13"/>
      <c r="K156" s="10"/>
      <c r="L156" s="10"/>
      <c r="M156" s="10"/>
      <c r="N156" s="14"/>
      <c r="O156" s="15"/>
      <c r="P156" s="16"/>
      <c r="R156" s="2"/>
    </row>
    <row r="157" ht="15.6" spans="2:18">
      <c r="B157" s="8"/>
      <c r="C157" s="9"/>
      <c r="D157" s="9"/>
      <c r="E157" s="8"/>
      <c r="F157" s="8"/>
      <c r="H157" s="10"/>
      <c r="I157" s="8"/>
      <c r="J157" s="13"/>
      <c r="K157" s="10"/>
      <c r="L157" s="10"/>
      <c r="M157" s="10"/>
      <c r="N157" s="14"/>
      <c r="O157" s="15"/>
      <c r="P157" s="16"/>
      <c r="R157" s="2"/>
    </row>
    <row r="158" ht="15.6" spans="2:18">
      <c r="B158" s="8"/>
      <c r="C158" s="9"/>
      <c r="D158" s="9"/>
      <c r="E158" s="8"/>
      <c r="F158" s="8"/>
      <c r="H158" s="10"/>
      <c r="I158" s="8"/>
      <c r="J158" s="13"/>
      <c r="K158" s="10"/>
      <c r="L158" s="10"/>
      <c r="M158" s="10"/>
      <c r="N158" s="14"/>
      <c r="O158" s="15"/>
      <c r="P158" s="16"/>
      <c r="R158" s="2"/>
    </row>
    <row r="159" ht="15.6" spans="2:22">
      <c r="B159" s="8"/>
      <c r="C159" s="9"/>
      <c r="D159" s="9"/>
      <c r="E159" s="8"/>
      <c r="F159" s="8"/>
      <c r="H159" s="10"/>
      <c r="I159" s="8"/>
      <c r="J159" s="13"/>
      <c r="K159" s="10"/>
      <c r="L159" s="10"/>
      <c r="M159" s="10"/>
      <c r="N159" s="14"/>
      <c r="O159" s="15"/>
      <c r="P159" s="16"/>
      <c r="R159" s="2"/>
      <c r="S159" s="8"/>
      <c r="T159" s="8"/>
      <c r="U159" s="8"/>
      <c r="V159" s="8"/>
    </row>
    <row r="160" ht="15.6" spans="2:18">
      <c r="B160" s="8"/>
      <c r="C160" s="9"/>
      <c r="D160" s="9"/>
      <c r="E160" s="8"/>
      <c r="F160" s="8"/>
      <c r="H160" s="10"/>
      <c r="I160" s="8"/>
      <c r="J160" s="13"/>
      <c r="K160" s="10"/>
      <c r="L160" s="10"/>
      <c r="M160" s="10"/>
      <c r="N160" s="14"/>
      <c r="O160" s="15"/>
      <c r="P160" s="16"/>
      <c r="R160" s="2"/>
    </row>
    <row r="161" ht="15.6" spans="2:18">
      <c r="B161" s="8"/>
      <c r="C161" s="9"/>
      <c r="D161" s="9"/>
      <c r="E161" s="8"/>
      <c r="F161" s="8"/>
      <c r="H161" s="10"/>
      <c r="I161" s="8"/>
      <c r="J161" s="13"/>
      <c r="K161" s="10"/>
      <c r="L161" s="10"/>
      <c r="M161" s="10"/>
      <c r="N161" s="14"/>
      <c r="O161" s="15"/>
      <c r="P161" s="16"/>
      <c r="R161" s="2"/>
    </row>
    <row r="162" ht="15.6" spans="2:18">
      <c r="B162" s="8"/>
      <c r="C162" s="9"/>
      <c r="D162" s="9"/>
      <c r="E162" s="8"/>
      <c r="F162" s="8"/>
      <c r="H162" s="10"/>
      <c r="I162" s="8"/>
      <c r="J162" s="13"/>
      <c r="K162" s="10"/>
      <c r="L162" s="10"/>
      <c r="M162" s="10"/>
      <c r="N162" s="14"/>
      <c r="O162" s="15"/>
      <c r="P162" s="16"/>
      <c r="R162" s="2"/>
    </row>
    <row r="163" ht="15.6" spans="2:18">
      <c r="B163" s="8"/>
      <c r="C163" s="9"/>
      <c r="D163" s="9"/>
      <c r="E163" s="8"/>
      <c r="F163" s="8"/>
      <c r="H163" s="10"/>
      <c r="I163" s="8"/>
      <c r="J163" s="13"/>
      <c r="K163" s="10"/>
      <c r="L163" s="10"/>
      <c r="M163" s="10"/>
      <c r="N163" s="14"/>
      <c r="O163" s="15"/>
      <c r="P163" s="16"/>
      <c r="R163" s="2"/>
    </row>
    <row r="164" ht="15.6" spans="2:18">
      <c r="B164" s="8"/>
      <c r="C164" s="9"/>
      <c r="D164" s="9"/>
      <c r="E164" s="8"/>
      <c r="F164" s="8"/>
      <c r="H164" s="10"/>
      <c r="I164" s="8"/>
      <c r="J164" s="13"/>
      <c r="K164" s="10"/>
      <c r="L164" s="10"/>
      <c r="M164" s="10"/>
      <c r="N164" s="14"/>
      <c r="O164" s="15"/>
      <c r="P164" s="16"/>
      <c r="R164" s="2"/>
    </row>
    <row r="165" ht="15.6" spans="2:18">
      <c r="B165" s="8"/>
      <c r="C165" s="9"/>
      <c r="D165" s="9"/>
      <c r="E165" s="8"/>
      <c r="F165" s="8"/>
      <c r="H165" s="10"/>
      <c r="I165" s="8"/>
      <c r="J165" s="13"/>
      <c r="K165" s="10"/>
      <c r="L165" s="10"/>
      <c r="M165" s="10"/>
      <c r="N165" s="14"/>
      <c r="O165" s="15"/>
      <c r="P165" s="16"/>
      <c r="R165" s="2"/>
    </row>
    <row r="166" ht="15.6" spans="2:18">
      <c r="B166" s="8"/>
      <c r="C166" s="9"/>
      <c r="D166" s="9"/>
      <c r="E166" s="8"/>
      <c r="F166" s="8"/>
      <c r="H166" s="10"/>
      <c r="I166" s="8"/>
      <c r="J166" s="13"/>
      <c r="K166" s="10"/>
      <c r="L166" s="10"/>
      <c r="M166" s="10"/>
      <c r="N166" s="14"/>
      <c r="O166" s="15"/>
      <c r="P166" s="16"/>
      <c r="R166" s="2"/>
    </row>
    <row r="167" ht="15.6" spans="2:18">
      <c r="B167" s="8"/>
      <c r="C167" s="9"/>
      <c r="D167" s="9"/>
      <c r="E167" s="8"/>
      <c r="F167" s="8"/>
      <c r="H167" s="10"/>
      <c r="I167" s="8"/>
      <c r="J167" s="13"/>
      <c r="K167" s="10"/>
      <c r="L167" s="10"/>
      <c r="M167" s="10"/>
      <c r="N167" s="14"/>
      <c r="O167" s="15"/>
      <c r="P167" s="16"/>
      <c r="R167" s="2"/>
    </row>
    <row r="168" ht="15.6" spans="2:18">
      <c r="B168" s="8"/>
      <c r="C168" s="9"/>
      <c r="D168" s="9"/>
      <c r="E168" s="8"/>
      <c r="F168" s="8"/>
      <c r="H168" s="10"/>
      <c r="I168" s="8"/>
      <c r="J168" s="13"/>
      <c r="K168" s="10"/>
      <c r="L168" s="10"/>
      <c r="M168" s="10"/>
      <c r="N168" s="14"/>
      <c r="O168" s="15"/>
      <c r="P168" s="16"/>
      <c r="R168" s="2"/>
    </row>
    <row r="169" ht="15.6" spans="2:18">
      <c r="B169" s="8"/>
      <c r="C169" s="9"/>
      <c r="D169" s="9"/>
      <c r="E169" s="8"/>
      <c r="F169" s="8"/>
      <c r="H169" s="10"/>
      <c r="I169" s="8"/>
      <c r="J169" s="13"/>
      <c r="K169" s="10"/>
      <c r="L169" s="10"/>
      <c r="M169" s="10"/>
      <c r="N169" s="14"/>
      <c r="O169" s="15"/>
      <c r="P169" s="16"/>
      <c r="R169" s="2"/>
    </row>
    <row r="170" ht="15.6" spans="2:18">
      <c r="B170" s="8"/>
      <c r="C170" s="9"/>
      <c r="D170" s="9"/>
      <c r="E170" s="8"/>
      <c r="F170" s="8"/>
      <c r="H170" s="10"/>
      <c r="I170" s="8"/>
      <c r="J170" s="13"/>
      <c r="K170" s="10"/>
      <c r="L170" s="10"/>
      <c r="M170" s="10"/>
      <c r="N170" s="14"/>
      <c r="O170" s="15"/>
      <c r="P170" s="16"/>
      <c r="R170" s="2"/>
    </row>
    <row r="171" ht="15.6" spans="2:22">
      <c r="B171" s="8"/>
      <c r="C171" s="9"/>
      <c r="D171" s="9"/>
      <c r="E171" s="8"/>
      <c r="F171" s="8"/>
      <c r="H171" s="10"/>
      <c r="I171" s="8"/>
      <c r="J171" s="13"/>
      <c r="K171" s="10"/>
      <c r="L171" s="10"/>
      <c r="M171" s="10"/>
      <c r="N171" s="14"/>
      <c r="O171" s="15"/>
      <c r="P171" s="16"/>
      <c r="R171" s="2"/>
      <c r="S171" s="8"/>
      <c r="T171" s="8"/>
      <c r="U171" s="8"/>
      <c r="V171" s="8"/>
    </row>
    <row r="172" ht="15.6" spans="2:18">
      <c r="B172" s="8"/>
      <c r="C172" s="9"/>
      <c r="D172" s="9"/>
      <c r="E172" s="8"/>
      <c r="F172" s="8"/>
      <c r="H172" s="10"/>
      <c r="I172" s="8"/>
      <c r="J172" s="13"/>
      <c r="K172" s="10"/>
      <c r="L172" s="10"/>
      <c r="M172" s="10"/>
      <c r="N172" s="14"/>
      <c r="O172" s="15"/>
      <c r="P172" s="16"/>
      <c r="R172" s="2"/>
    </row>
    <row r="173" ht="15.6" spans="2:18">
      <c r="B173" s="8"/>
      <c r="C173" s="9"/>
      <c r="D173" s="9"/>
      <c r="E173" s="8"/>
      <c r="F173" s="8"/>
      <c r="H173" s="10"/>
      <c r="I173" s="8"/>
      <c r="J173" s="13"/>
      <c r="K173" s="10"/>
      <c r="L173" s="10"/>
      <c r="M173" s="10"/>
      <c r="N173" s="14"/>
      <c r="O173" s="15"/>
      <c r="P173" s="16"/>
      <c r="R173" s="2"/>
    </row>
    <row r="174" ht="15.6" spans="2:18">
      <c r="B174" s="8"/>
      <c r="C174" s="9"/>
      <c r="D174" s="9"/>
      <c r="E174" s="8"/>
      <c r="F174" s="8"/>
      <c r="H174" s="10"/>
      <c r="I174" s="8"/>
      <c r="J174" s="13"/>
      <c r="K174" s="10"/>
      <c r="L174" s="10"/>
      <c r="M174" s="10"/>
      <c r="N174" s="14"/>
      <c r="O174" s="15"/>
      <c r="P174" s="16"/>
      <c r="R174" s="2"/>
    </row>
    <row r="175" ht="15.6" spans="2:18">
      <c r="B175" s="8"/>
      <c r="C175" s="9"/>
      <c r="D175" s="9"/>
      <c r="E175" s="8"/>
      <c r="F175" s="8"/>
      <c r="H175" s="10"/>
      <c r="I175" s="8"/>
      <c r="J175" s="13"/>
      <c r="K175" s="10"/>
      <c r="L175" s="10"/>
      <c r="M175" s="10"/>
      <c r="N175" s="14"/>
      <c r="O175" s="15"/>
      <c r="P175" s="16"/>
      <c r="R175" s="2"/>
    </row>
    <row r="176" ht="15.6" spans="2:18">
      <c r="B176" s="8"/>
      <c r="C176" s="9"/>
      <c r="D176" s="9"/>
      <c r="E176" s="8"/>
      <c r="F176" s="8"/>
      <c r="H176" s="10"/>
      <c r="I176" s="8"/>
      <c r="J176" s="13"/>
      <c r="K176" s="10"/>
      <c r="L176" s="10"/>
      <c r="M176" s="10"/>
      <c r="N176" s="14"/>
      <c r="O176" s="15"/>
      <c r="P176" s="16"/>
      <c r="R176" s="2"/>
    </row>
    <row r="177" ht="15.6" spans="2:18">
      <c r="B177" s="8"/>
      <c r="C177" s="9"/>
      <c r="D177" s="9"/>
      <c r="E177" s="8"/>
      <c r="F177" s="8"/>
      <c r="H177" s="10"/>
      <c r="I177" s="8"/>
      <c r="J177" s="13"/>
      <c r="K177" s="10"/>
      <c r="L177" s="10"/>
      <c r="M177" s="10"/>
      <c r="N177" s="14"/>
      <c r="O177" s="15"/>
      <c r="P177" s="16"/>
      <c r="R177" s="2"/>
    </row>
    <row r="178" ht="15.6" spans="2:18">
      <c r="B178" s="8"/>
      <c r="C178" s="9"/>
      <c r="D178" s="9"/>
      <c r="E178" s="8"/>
      <c r="F178" s="8"/>
      <c r="H178" s="10"/>
      <c r="I178" s="8"/>
      <c r="J178" s="13"/>
      <c r="K178" s="10"/>
      <c r="L178" s="10"/>
      <c r="M178" s="10"/>
      <c r="N178" s="14"/>
      <c r="O178" s="15"/>
      <c r="P178" s="16"/>
      <c r="R178" s="2"/>
    </row>
    <row r="179" ht="15.6" spans="2:18">
      <c r="B179" s="8"/>
      <c r="C179" s="9"/>
      <c r="D179" s="9"/>
      <c r="E179" s="8"/>
      <c r="F179" s="8"/>
      <c r="H179" s="10"/>
      <c r="I179" s="8"/>
      <c r="J179" s="13"/>
      <c r="K179" s="10"/>
      <c r="L179" s="10"/>
      <c r="M179" s="10"/>
      <c r="N179" s="14"/>
      <c r="O179" s="15"/>
      <c r="P179" s="16"/>
      <c r="R179" s="2"/>
    </row>
    <row r="180" ht="15.6" spans="2:18">
      <c r="B180" s="8"/>
      <c r="C180" s="9"/>
      <c r="D180" s="9"/>
      <c r="E180" s="8"/>
      <c r="F180" s="8"/>
      <c r="H180" s="10"/>
      <c r="I180" s="8"/>
      <c r="J180" s="13"/>
      <c r="K180" s="10"/>
      <c r="L180" s="10"/>
      <c r="M180" s="10"/>
      <c r="N180" s="14"/>
      <c r="O180" s="15"/>
      <c r="P180" s="16"/>
      <c r="R180" s="2"/>
    </row>
    <row r="181" ht="15.6" spans="2:18">
      <c r="B181" s="8"/>
      <c r="C181" s="9"/>
      <c r="D181" s="9"/>
      <c r="E181" s="8"/>
      <c r="F181" s="8"/>
      <c r="H181" s="10"/>
      <c r="I181" s="8"/>
      <c r="J181" s="13"/>
      <c r="K181" s="10"/>
      <c r="L181" s="10"/>
      <c r="M181" s="10"/>
      <c r="N181" s="14"/>
      <c r="O181" s="15"/>
      <c r="P181" s="16"/>
      <c r="R181" s="2"/>
    </row>
    <row r="182" ht="15.6" spans="2:18">
      <c r="B182" s="8"/>
      <c r="C182" s="9"/>
      <c r="D182" s="9"/>
      <c r="E182" s="8"/>
      <c r="F182" s="8"/>
      <c r="H182" s="10"/>
      <c r="I182" s="8"/>
      <c r="J182" s="13"/>
      <c r="K182" s="10"/>
      <c r="L182" s="10"/>
      <c r="M182" s="10"/>
      <c r="N182" s="14"/>
      <c r="O182" s="15"/>
      <c r="P182" s="16"/>
      <c r="R182" s="2"/>
    </row>
    <row r="183" ht="15.6" spans="2:18">
      <c r="B183" s="8"/>
      <c r="C183" s="9"/>
      <c r="D183" s="9"/>
      <c r="E183" s="8"/>
      <c r="F183" s="8"/>
      <c r="H183" s="10"/>
      <c r="I183" s="8"/>
      <c r="J183" s="13"/>
      <c r="K183" s="10"/>
      <c r="L183" s="10"/>
      <c r="M183" s="10"/>
      <c r="N183" s="14"/>
      <c r="O183" s="15"/>
      <c r="P183" s="16"/>
      <c r="R183" s="2"/>
    </row>
    <row r="184" ht="15.6" spans="2:18">
      <c r="B184" s="8"/>
      <c r="C184" s="9"/>
      <c r="D184" s="9"/>
      <c r="E184" s="8"/>
      <c r="F184" s="8"/>
      <c r="H184" s="10"/>
      <c r="I184" s="8"/>
      <c r="J184" s="13"/>
      <c r="K184" s="10"/>
      <c r="L184" s="10"/>
      <c r="M184" s="10"/>
      <c r="N184" s="14"/>
      <c r="O184" s="15"/>
      <c r="P184" s="16"/>
      <c r="R184" s="2"/>
    </row>
    <row r="185" ht="15.6" spans="2:18">
      <c r="B185" s="8"/>
      <c r="C185" s="9"/>
      <c r="D185" s="9"/>
      <c r="E185" s="8"/>
      <c r="F185" s="8"/>
      <c r="H185" s="10"/>
      <c r="I185" s="8"/>
      <c r="J185" s="13"/>
      <c r="K185" s="10"/>
      <c r="L185" s="10"/>
      <c r="M185" s="10"/>
      <c r="N185" s="14"/>
      <c r="O185" s="15"/>
      <c r="P185" s="16"/>
      <c r="R185" s="2"/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4"/>
      <c r="O186" s="15"/>
      <c r="P186" s="16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4"/>
      <c r="O187" s="15"/>
      <c r="P187" s="16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4"/>
      <c r="O188" s="15"/>
      <c r="P188" s="16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4"/>
      <c r="O189" s="15"/>
      <c r="P189" s="16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4"/>
      <c r="O190" s="15"/>
      <c r="P190" s="16"/>
      <c r="R190" s="2"/>
    </row>
    <row r="191" ht="15.6" spans="3:22">
      <c r="C191" s="9"/>
      <c r="D191" s="9"/>
      <c r="E191" s="8"/>
      <c r="F191" s="8"/>
      <c r="H191" s="10"/>
      <c r="K191" s="10"/>
      <c r="L191" s="10"/>
      <c r="M191" s="10"/>
      <c r="N191" s="14"/>
      <c r="O191" s="15"/>
      <c r="P191" s="16"/>
      <c r="R191" s="2"/>
      <c r="S191" s="8"/>
      <c r="T191" s="8"/>
      <c r="U191" s="8"/>
      <c r="V191" s="8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4"/>
      <c r="O192" s="15"/>
      <c r="P192" s="16"/>
      <c r="R192" s="2"/>
    </row>
    <row r="193" ht="15.6" spans="3:18">
      <c r="C193" s="9"/>
      <c r="D193" s="9"/>
      <c r="E193" s="8"/>
      <c r="F193" s="8"/>
      <c r="H193" s="10"/>
      <c r="K193" s="10"/>
      <c r="L193" s="10"/>
      <c r="M193" s="10"/>
      <c r="N193" s="14"/>
      <c r="O193" s="15"/>
      <c r="P193" s="16"/>
      <c r="R193" s="2"/>
    </row>
    <row r="194" ht="15.6" spans="3:18">
      <c r="C194" s="9"/>
      <c r="D194" s="9"/>
      <c r="F194" s="8"/>
      <c r="H194" s="10"/>
      <c r="K194" s="10"/>
      <c r="L194" s="10"/>
      <c r="M194" s="10"/>
      <c r="N194" s="14"/>
      <c r="O194" s="15"/>
      <c r="P194" s="16"/>
      <c r="R194" s="2"/>
    </row>
    <row r="195" ht="15.6" spans="3:18">
      <c r="C195" s="9"/>
      <c r="D195" s="9"/>
      <c r="F195" s="8"/>
      <c r="H195" s="10"/>
      <c r="K195" s="10"/>
      <c r="L195" s="10"/>
      <c r="M195" s="10"/>
      <c r="N195" s="14"/>
      <c r="O195" s="15"/>
      <c r="P195" s="16"/>
      <c r="R195" s="2"/>
    </row>
    <row r="196" ht="15.6" spans="3:18">
      <c r="C196" s="9"/>
      <c r="D196" s="9"/>
      <c r="F196" s="8"/>
      <c r="H196" s="10"/>
      <c r="K196" s="10"/>
      <c r="L196" s="10"/>
      <c r="M196" s="10"/>
      <c r="N196" s="14"/>
      <c r="O196" s="15"/>
      <c r="P196" s="16"/>
      <c r="R196" s="2"/>
    </row>
    <row r="197" ht="15.6" spans="3:18">
      <c r="C197" s="9"/>
      <c r="D197" s="9"/>
      <c r="F197" s="8"/>
      <c r="H197" s="10"/>
      <c r="K197" s="10"/>
      <c r="L197" s="10"/>
      <c r="M197" s="10"/>
      <c r="N197" s="14"/>
      <c r="O197" s="15"/>
      <c r="P197" s="16"/>
      <c r="R197" s="2"/>
    </row>
    <row r="198" ht="15.6" spans="3:18">
      <c r="C198" s="9"/>
      <c r="D198" s="9"/>
      <c r="F198" s="8"/>
      <c r="H198" s="10"/>
      <c r="K198" s="10"/>
      <c r="L198" s="10"/>
      <c r="M198" s="10"/>
      <c r="N198" s="14"/>
      <c r="O198" s="15"/>
      <c r="P198" s="16"/>
      <c r="R198" s="2"/>
    </row>
    <row r="199" ht="15.6" spans="3:18">
      <c r="C199" s="9"/>
      <c r="D199" s="9"/>
      <c r="F199" s="8"/>
      <c r="H199" s="10"/>
      <c r="K199" s="10"/>
      <c r="L199" s="10"/>
      <c r="M199" s="10"/>
      <c r="N199" s="14"/>
      <c r="O199" s="15"/>
      <c r="P199" s="16"/>
      <c r="R199" s="2"/>
    </row>
    <row r="200" ht="15.6" spans="3:18">
      <c r="C200" s="9"/>
      <c r="D200" s="9"/>
      <c r="F200" s="8"/>
      <c r="H200" s="10"/>
      <c r="K200" s="10"/>
      <c r="L200" s="10"/>
      <c r="M200" s="10"/>
      <c r="N200" s="14"/>
      <c r="O200" s="15"/>
      <c r="P200" s="16"/>
      <c r="R200" s="2"/>
    </row>
    <row r="201" ht="15.6" spans="3:18">
      <c r="C201" s="9"/>
      <c r="D201" s="9"/>
      <c r="F201" s="8"/>
      <c r="H201" s="10"/>
      <c r="K201" s="10"/>
      <c r="L201" s="10"/>
      <c r="M201" s="10"/>
      <c r="N201" s="14"/>
      <c r="O201" s="15"/>
      <c r="P201" s="16"/>
      <c r="R201" s="2"/>
    </row>
    <row r="202" ht="15.6" spans="3:18">
      <c r="C202" s="9"/>
      <c r="D202" s="9"/>
      <c r="F202" s="8"/>
      <c r="H202" s="10"/>
      <c r="K202" s="10"/>
      <c r="L202" s="10"/>
      <c r="M202" s="10"/>
      <c r="N202" s="14"/>
      <c r="O202" s="15"/>
      <c r="P202" s="16"/>
      <c r="R202" s="2"/>
    </row>
    <row r="203" ht="15.6" spans="3:22">
      <c r="C203" s="9"/>
      <c r="D203" s="9"/>
      <c r="H203" s="10"/>
      <c r="K203" s="10"/>
      <c r="L203" s="10"/>
      <c r="M203" s="10"/>
      <c r="N203" s="14"/>
      <c r="O203" s="15"/>
      <c r="P203" s="16"/>
      <c r="R203" s="2"/>
      <c r="S203" s="8"/>
      <c r="T203" s="8"/>
      <c r="U203" s="8"/>
      <c r="V203" s="8"/>
    </row>
    <row r="204" ht="15.6" spans="3:18">
      <c r="C204" s="9"/>
      <c r="D204" s="9"/>
      <c r="H204" s="10"/>
      <c r="K204" s="10"/>
      <c r="L204" s="10"/>
      <c r="M204" s="10"/>
      <c r="N204" s="14"/>
      <c r="O204" s="15"/>
      <c r="P204" s="16"/>
      <c r="R204" s="2"/>
    </row>
    <row r="205" ht="15.6" spans="3:18">
      <c r="C205" s="9"/>
      <c r="D205" s="9"/>
      <c r="H205" s="10"/>
      <c r="K205" s="10"/>
      <c r="L205" s="10"/>
      <c r="M205" s="10"/>
      <c r="N205" s="14"/>
      <c r="O205" s="15"/>
      <c r="P205" s="16"/>
      <c r="R205" s="2"/>
    </row>
    <row r="206" ht="15.6" spans="3:18">
      <c r="C206" s="9"/>
      <c r="D206" s="9"/>
      <c r="H206" s="10"/>
      <c r="K206" s="10"/>
      <c r="L206" s="10"/>
      <c r="M206" s="10"/>
      <c r="N206" s="14"/>
      <c r="O206" s="15"/>
      <c r="P206" s="16"/>
      <c r="R206" s="2"/>
    </row>
    <row r="207" ht="15.6" spans="3:18">
      <c r="C207" s="9"/>
      <c r="D207" s="9"/>
      <c r="H207" s="10"/>
      <c r="K207" s="10"/>
      <c r="L207" s="10"/>
      <c r="M207" s="10"/>
      <c r="N207" s="14"/>
      <c r="O207" s="15"/>
      <c r="P207" s="16"/>
      <c r="R207" s="2"/>
    </row>
    <row r="208" ht="15.6" spans="3:18">
      <c r="C208" s="9"/>
      <c r="D208" s="9"/>
      <c r="H208" s="10"/>
      <c r="K208" s="10"/>
      <c r="L208" s="10"/>
      <c r="M208" s="10"/>
      <c r="N208" s="14"/>
      <c r="O208" s="15"/>
      <c r="P208" s="16"/>
      <c r="R208" s="2"/>
    </row>
    <row r="209" ht="15.6" spans="3:18">
      <c r="C209" s="9"/>
      <c r="D209" s="9"/>
      <c r="H209" s="10"/>
      <c r="K209" s="10"/>
      <c r="L209" s="10"/>
      <c r="M209" s="10"/>
      <c r="N209" s="14"/>
      <c r="O209" s="15"/>
      <c r="P209" s="16"/>
      <c r="R209" s="2"/>
    </row>
    <row r="210" ht="15.6" spans="3:18">
      <c r="C210" s="9"/>
      <c r="D210" s="9"/>
      <c r="H210" s="10"/>
      <c r="K210" s="10"/>
      <c r="L210" s="10"/>
      <c r="M210" s="10"/>
      <c r="N210" s="14"/>
      <c r="O210" s="15"/>
      <c r="P210" s="16"/>
      <c r="R210" s="2"/>
    </row>
    <row r="211" ht="15.6" spans="3:18">
      <c r="C211" s="9"/>
      <c r="D211" s="9"/>
      <c r="H211" s="10"/>
      <c r="K211" s="10"/>
      <c r="L211" s="10"/>
      <c r="M211" s="10"/>
      <c r="N211" s="14"/>
      <c r="O211" s="15"/>
      <c r="P211" s="16"/>
      <c r="R211" s="2"/>
    </row>
    <row r="212" ht="15.6" spans="3:18">
      <c r="C212" s="9"/>
      <c r="D212" s="9"/>
      <c r="H212" s="10"/>
      <c r="K212" s="10"/>
      <c r="L212" s="10"/>
      <c r="M212" s="10"/>
      <c r="N212" s="14"/>
      <c r="O212" s="15"/>
      <c r="P212" s="16"/>
      <c r="R212" s="2"/>
    </row>
    <row r="213" ht="15.6" spans="3:18">
      <c r="C213" s="9"/>
      <c r="D213" s="9"/>
      <c r="H213" s="10"/>
      <c r="K213" s="10"/>
      <c r="L213" s="10"/>
      <c r="M213" s="10"/>
      <c r="N213" s="14"/>
      <c r="O213" s="15"/>
      <c r="P213" s="16"/>
      <c r="R213" s="2"/>
    </row>
    <row r="214" ht="15.6" spans="3:18">
      <c r="C214" s="9"/>
      <c r="D214" s="9"/>
      <c r="H214" s="10"/>
      <c r="K214" s="10"/>
      <c r="L214" s="10"/>
      <c r="M214" s="10"/>
      <c r="N214" s="14"/>
      <c r="O214" s="15"/>
      <c r="P214" s="16"/>
      <c r="R214" s="2"/>
    </row>
    <row r="215" ht="15.6" spans="3:18">
      <c r="C215" s="9"/>
      <c r="D215" s="9"/>
      <c r="H215" s="10"/>
      <c r="K215" s="10"/>
      <c r="L215" s="10"/>
      <c r="M215" s="10"/>
      <c r="N215" s="14"/>
      <c r="O215" s="15"/>
      <c r="P215" s="16"/>
      <c r="R215" s="2"/>
    </row>
    <row r="216" ht="15.6" spans="3:18">
      <c r="C216" s="9"/>
      <c r="D216" s="9"/>
      <c r="H216" s="10"/>
      <c r="K216" s="10"/>
      <c r="L216" s="10"/>
      <c r="M216" s="10"/>
      <c r="N216" s="14"/>
      <c r="O216" s="15"/>
      <c r="P216" s="16"/>
      <c r="R216" s="2"/>
    </row>
    <row r="217" ht="15.6" spans="3:18">
      <c r="C217" s="9"/>
      <c r="D217" s="9"/>
      <c r="H217" s="10"/>
      <c r="K217" s="10"/>
      <c r="L217" s="10"/>
      <c r="M217" s="10"/>
      <c r="N217" s="14"/>
      <c r="O217" s="15"/>
      <c r="P217" s="16"/>
      <c r="R217" s="2"/>
    </row>
    <row r="218" ht="15.6" spans="3:18">
      <c r="C218" s="9"/>
      <c r="D218" s="9"/>
      <c r="H218" s="10"/>
      <c r="K218" s="10"/>
      <c r="L218" s="10"/>
      <c r="M218" s="10"/>
      <c r="N218" s="14"/>
      <c r="O218" s="15"/>
      <c r="P218" s="16"/>
      <c r="R218" s="2"/>
    </row>
    <row r="219" ht="15.6" spans="3:18">
      <c r="C219" s="9"/>
      <c r="D219" s="9"/>
      <c r="H219" s="10"/>
      <c r="K219" s="10"/>
      <c r="L219" s="10"/>
      <c r="M219" s="10"/>
      <c r="N219" s="14"/>
      <c r="O219" s="15"/>
      <c r="P219" s="16"/>
      <c r="R219" s="2"/>
    </row>
    <row r="220" ht="15.6" spans="3:18">
      <c r="C220" s="9"/>
      <c r="D220" s="9"/>
      <c r="H220" s="10"/>
      <c r="K220" s="10"/>
      <c r="L220" s="10"/>
      <c r="M220" s="10"/>
      <c r="N220" s="14"/>
      <c r="O220" s="15"/>
      <c r="P220" s="16"/>
      <c r="R220" s="2"/>
    </row>
    <row r="221" ht="15.6" spans="3:18">
      <c r="C221" s="9"/>
      <c r="D221" s="9"/>
      <c r="H221" s="10"/>
      <c r="K221" s="10"/>
      <c r="L221" s="10"/>
      <c r="M221" s="10"/>
      <c r="N221" s="14"/>
      <c r="O221" s="15"/>
      <c r="P221" s="16"/>
      <c r="R221" s="2"/>
    </row>
    <row r="222" ht="15.6" spans="3:18">
      <c r="C222" s="9"/>
      <c r="D222" s="9"/>
      <c r="H222" s="10"/>
      <c r="K222" s="10"/>
      <c r="L222" s="10"/>
      <c r="M222" s="10"/>
      <c r="N222" s="14"/>
      <c r="O222" s="15"/>
      <c r="P222" s="16"/>
      <c r="R222" s="2"/>
    </row>
    <row r="223" ht="15.6" spans="3:22">
      <c r="C223" s="9"/>
      <c r="D223" s="9"/>
      <c r="H223" s="10"/>
      <c r="K223" s="10"/>
      <c r="L223" s="10"/>
      <c r="M223" s="10"/>
      <c r="N223" s="14"/>
      <c r="O223" s="15"/>
      <c r="P223" s="16"/>
      <c r="R223" s="2"/>
      <c r="S223" s="8"/>
      <c r="T223" s="8"/>
      <c r="U223" s="8"/>
      <c r="V223" s="8"/>
    </row>
    <row r="224" ht="15.6" spans="3:18">
      <c r="C224" s="9"/>
      <c r="D224" s="9"/>
      <c r="H224" s="10"/>
      <c r="M224" s="10"/>
      <c r="N224" s="14"/>
      <c r="O224" s="15"/>
      <c r="P224" s="16"/>
      <c r="R224" s="2"/>
    </row>
    <row r="225" ht="15.6" spans="3:18">
      <c r="C225" s="9"/>
      <c r="D225" s="9"/>
      <c r="H225" s="10"/>
      <c r="M225" s="10"/>
      <c r="N225" s="14"/>
      <c r="O225" s="15"/>
      <c r="P225" s="16"/>
      <c r="R225" s="2"/>
    </row>
    <row r="226" ht="15.6" spans="3:18">
      <c r="C226" s="9"/>
      <c r="D226" s="9"/>
      <c r="H226" s="10"/>
      <c r="M226" s="10"/>
      <c r="N226" s="14"/>
      <c r="O226" s="15"/>
      <c r="P226" s="16"/>
      <c r="R226" s="2"/>
    </row>
    <row r="227" ht="15.6" spans="3:18">
      <c r="C227" s="9"/>
      <c r="D227" s="9"/>
      <c r="H227" s="10"/>
      <c r="M227" s="10"/>
      <c r="N227" s="14"/>
      <c r="O227" s="15"/>
      <c r="P227" s="16"/>
      <c r="R227" s="2"/>
    </row>
    <row r="228" ht="15.6" spans="3:18">
      <c r="C228" s="9"/>
      <c r="D228" s="9"/>
      <c r="M228" s="10"/>
      <c r="N228" s="14"/>
      <c r="O228" s="15"/>
      <c r="P228" s="16"/>
      <c r="R228" s="2"/>
    </row>
    <row r="229" ht="15.6" spans="3:18">
      <c r="C229" s="9"/>
      <c r="D229" s="9"/>
      <c r="M229" s="10"/>
      <c r="N229" s="14"/>
      <c r="O229" s="15"/>
      <c r="P229" s="16"/>
      <c r="R229" s="2"/>
    </row>
    <row r="230" ht="15.6" spans="3:18">
      <c r="C230" s="9"/>
      <c r="D230" s="9"/>
      <c r="M230" s="10"/>
      <c r="N230" s="14"/>
      <c r="O230" s="15"/>
      <c r="P230" s="16"/>
      <c r="R230" s="2"/>
    </row>
    <row r="231" ht="15.6" spans="3:18">
      <c r="C231" s="9"/>
      <c r="D231" s="9"/>
      <c r="M231" s="10"/>
      <c r="N231" s="14"/>
      <c r="O231" s="15"/>
      <c r="P231" s="16"/>
      <c r="R231" s="2"/>
    </row>
    <row r="232" ht="15.6" spans="3:18">
      <c r="C232" s="9"/>
      <c r="D232" s="9"/>
      <c r="M232" s="10"/>
      <c r="N232" s="14"/>
      <c r="O232" s="15"/>
      <c r="P232" s="16"/>
      <c r="R232" s="2"/>
    </row>
    <row r="233" ht="15.6" spans="3:18">
      <c r="C233" s="9"/>
      <c r="D233" s="9"/>
      <c r="M233" s="10"/>
      <c r="N233" s="14"/>
      <c r="O233" s="15"/>
      <c r="P233" s="16"/>
      <c r="R233" s="2"/>
    </row>
    <row r="234" ht="15.6" spans="3:18">
      <c r="C234" s="9"/>
      <c r="D234" s="9"/>
      <c r="M234" s="10"/>
      <c r="N234" s="14"/>
      <c r="O234" s="15"/>
      <c r="P234" s="16"/>
      <c r="R234" s="2"/>
    </row>
    <row r="235" ht="15.6" spans="3:18">
      <c r="C235" s="9"/>
      <c r="D235" s="9"/>
      <c r="M235" s="10"/>
      <c r="N235" s="14"/>
      <c r="O235" s="15"/>
      <c r="P235" s="16"/>
      <c r="R235" s="2"/>
    </row>
    <row r="236" ht="15.6" spans="3:18">
      <c r="C236" s="9"/>
      <c r="D236" s="9"/>
      <c r="M236" s="10"/>
      <c r="N236" s="14"/>
      <c r="O236" s="15"/>
      <c r="P236" s="16"/>
      <c r="R236" s="2"/>
    </row>
    <row r="237" ht="15.6" spans="3:18">
      <c r="C237" s="9"/>
      <c r="D237" s="9"/>
      <c r="M237" s="10"/>
      <c r="N237" s="14"/>
      <c r="O237" s="15"/>
      <c r="P237" s="16"/>
      <c r="R237" s="2"/>
    </row>
    <row r="238" ht="15.6" spans="3:18">
      <c r="C238" s="9"/>
      <c r="D238" s="9"/>
      <c r="M238" s="10"/>
      <c r="N238" s="14"/>
      <c r="O238" s="15"/>
      <c r="P238" s="16"/>
      <c r="R238" s="2"/>
    </row>
    <row r="239" ht="15.6" spans="3:18">
      <c r="C239" s="9"/>
      <c r="D239" s="9"/>
      <c r="M239" s="10"/>
      <c r="N239" s="14"/>
      <c r="O239" s="15"/>
      <c r="P239" s="16"/>
      <c r="R239" s="2"/>
    </row>
    <row r="240" ht="15.6" spans="3:18">
      <c r="C240" s="9"/>
      <c r="D240" s="9"/>
      <c r="M240" s="10"/>
      <c r="N240" s="14"/>
      <c r="O240" s="15"/>
      <c r="P240" s="16"/>
      <c r="R240" s="2"/>
    </row>
    <row r="241" ht="15.6" spans="3:18">
      <c r="C241" s="9"/>
      <c r="D241" s="9"/>
      <c r="M241" s="10"/>
      <c r="N241" s="14"/>
      <c r="O241" s="15"/>
      <c r="P241" s="16"/>
      <c r="R241" s="2"/>
    </row>
    <row r="242" ht="15.6" spans="3:18">
      <c r="C242" s="9"/>
      <c r="D242" s="9"/>
      <c r="M242" s="10"/>
      <c r="N242" s="14"/>
      <c r="O242" s="15"/>
      <c r="P242" s="16"/>
      <c r="R242" s="2"/>
    </row>
    <row r="243" ht="15.6" spans="3:18">
      <c r="C243" s="9"/>
      <c r="D243" s="9"/>
      <c r="M243" s="10"/>
      <c r="N243" s="14"/>
      <c r="O243" s="15"/>
      <c r="P243" s="16"/>
      <c r="R243" s="2"/>
    </row>
    <row r="244" ht="15.6" spans="3:18">
      <c r="C244" s="9"/>
      <c r="D244" s="9"/>
      <c r="M244" s="10"/>
      <c r="N244" s="14"/>
      <c r="O244" s="15"/>
      <c r="P244" s="16"/>
      <c r="R244" s="2"/>
    </row>
    <row r="245" ht="15.6" spans="3:18">
      <c r="C245" s="9"/>
      <c r="D245" s="9"/>
      <c r="M245" s="10"/>
      <c r="N245" s="14"/>
      <c r="O245" s="15"/>
      <c r="P245" s="16"/>
      <c r="R245" s="2"/>
    </row>
    <row r="246" ht="15.6" spans="3:18">
      <c r="C246" s="9"/>
      <c r="D246" s="9"/>
      <c r="M246" s="10"/>
      <c r="N246" s="14"/>
      <c r="O246" s="15"/>
      <c r="P246" s="16"/>
      <c r="R246" s="2"/>
    </row>
    <row r="247" ht="15.6" spans="3:18">
      <c r="C247" s="9"/>
      <c r="D247" s="9"/>
      <c r="M247" s="10"/>
      <c r="N247" s="14"/>
      <c r="O247" s="15"/>
      <c r="P247" s="16"/>
      <c r="R247" s="2"/>
    </row>
    <row r="248" ht="15.6" spans="3:18">
      <c r="C248" s="9"/>
      <c r="D248" s="9"/>
      <c r="M248" s="10"/>
      <c r="N248" s="14"/>
      <c r="O248" s="15"/>
      <c r="P248" s="16"/>
      <c r="R248" s="2"/>
    </row>
    <row r="249" ht="15.6" spans="3:18">
      <c r="C249" s="9"/>
      <c r="D249" s="9"/>
      <c r="M249" s="10"/>
      <c r="N249" s="14"/>
      <c r="O249" s="15"/>
      <c r="P249" s="16"/>
      <c r="R249" s="2"/>
    </row>
    <row r="250" ht="15.6" spans="3:18">
      <c r="C250" s="9"/>
      <c r="D250" s="9"/>
      <c r="M250" s="10"/>
      <c r="N250" s="14"/>
      <c r="O250" s="15"/>
      <c r="P250" s="16"/>
      <c r="R250" s="2"/>
    </row>
    <row r="251" ht="15.6" spans="3:18">
      <c r="C251" s="9"/>
      <c r="D251" s="9"/>
      <c r="M251" s="10"/>
      <c r="N251" s="14"/>
      <c r="O251" s="15"/>
      <c r="P251" s="16"/>
      <c r="R251" s="2"/>
    </row>
    <row r="252" ht="15.6" spans="3:18">
      <c r="C252" s="9"/>
      <c r="D252" s="9"/>
      <c r="M252" s="10"/>
      <c r="N252" s="14"/>
      <c r="O252" s="15"/>
      <c r="P252" s="16"/>
      <c r="R252" s="2"/>
    </row>
    <row r="253" ht="15.6" spans="3:18">
      <c r="C253" s="9"/>
      <c r="D253" s="9"/>
      <c r="M253" s="10"/>
      <c r="N253" s="14"/>
      <c r="O253" s="15"/>
      <c r="P253" s="16"/>
      <c r="R253" s="2"/>
    </row>
    <row r="254" ht="15.6" spans="3:18">
      <c r="C254" s="9"/>
      <c r="D254" s="9"/>
      <c r="P254" s="16"/>
      <c r="R254" s="2"/>
    </row>
    <row r="255" ht="15.6" spans="3:18">
      <c r="C255" s="9"/>
      <c r="D255" s="9"/>
      <c r="P255" s="16"/>
      <c r="R255" s="2"/>
    </row>
    <row r="256" ht="15.6" spans="3:18">
      <c r="C256" s="9"/>
      <c r="D256" s="9"/>
      <c r="P256" s="16"/>
      <c r="R256" s="2"/>
    </row>
    <row r="257" ht="15.6" spans="3:18">
      <c r="C257" s="9"/>
      <c r="D257" s="9"/>
      <c r="P257" s="16"/>
      <c r="R257" s="2"/>
    </row>
    <row r="258" ht="15.6" spans="3:18">
      <c r="C258" s="9"/>
      <c r="D258" s="9"/>
      <c r="P258" s="16"/>
      <c r="R258" s="2"/>
    </row>
    <row r="259" ht="15.6" spans="3:18">
      <c r="C259" s="9"/>
      <c r="D259" s="9"/>
      <c r="P259" s="16"/>
      <c r="R259" s="2"/>
    </row>
    <row r="260" ht="15.6" spans="3:18">
      <c r="C260" s="9"/>
      <c r="D260" s="9"/>
      <c r="P260" s="16"/>
      <c r="R260" s="2"/>
    </row>
    <row r="261" ht="15.6" spans="3:18">
      <c r="C261" s="9"/>
      <c r="D261" s="9"/>
      <c r="P261" s="16"/>
      <c r="R261" s="2"/>
    </row>
    <row r="262" ht="15.6" spans="3:18">
      <c r="C262" s="9"/>
      <c r="D262" s="9"/>
      <c r="P262" s="16"/>
      <c r="R262" s="2"/>
    </row>
    <row r="263" ht="15.6" spans="3:18">
      <c r="C263" s="9"/>
      <c r="D263" s="9"/>
      <c r="P263" s="16"/>
      <c r="R263" s="2"/>
    </row>
    <row r="264" ht="15.6" spans="3:18">
      <c r="C264" s="9"/>
      <c r="D264" s="9"/>
      <c r="P264" s="16"/>
      <c r="R264" s="2"/>
    </row>
    <row r="265" ht="15.6" spans="3:18">
      <c r="C265" s="9"/>
      <c r="D265" s="9"/>
      <c r="P265" s="16"/>
      <c r="R265" s="2"/>
    </row>
    <row r="266" ht="15.6" spans="3:18">
      <c r="C266" s="9"/>
      <c r="D266" s="9"/>
      <c r="P266" s="16"/>
      <c r="R266" s="2"/>
    </row>
    <row r="267" ht="15.6" spans="3:18">
      <c r="C267" s="9"/>
      <c r="D267" s="9"/>
      <c r="P267" s="16"/>
      <c r="R267" s="2"/>
    </row>
    <row r="268" ht="15.6" spans="3:18">
      <c r="C268" s="9"/>
      <c r="D268" s="9"/>
      <c r="P268" s="16"/>
      <c r="R268" s="2"/>
    </row>
    <row r="269" ht="15.6" spans="3:18">
      <c r="C269" s="9"/>
      <c r="D269" s="9"/>
      <c r="P269" s="16"/>
      <c r="R269" s="2"/>
    </row>
    <row r="270" ht="15.6" spans="3:18">
      <c r="C270" s="9"/>
      <c r="D270" s="9"/>
      <c r="P270" s="16"/>
      <c r="R270" s="2"/>
    </row>
    <row r="271" ht="15.6" spans="3:18">
      <c r="C271" s="9"/>
      <c r="D271" s="9"/>
      <c r="P271" s="16"/>
      <c r="R271" s="2"/>
    </row>
    <row r="272" ht="15.6" spans="3:18">
      <c r="C272" s="9"/>
      <c r="D272" s="9"/>
      <c r="P272" s="16"/>
      <c r="R272" s="2"/>
    </row>
    <row r="273" ht="15.6" spans="3:18">
      <c r="C273" s="9"/>
      <c r="D273" s="9"/>
      <c r="P273" s="16"/>
      <c r="R273" s="2"/>
    </row>
    <row r="274" ht="15.6" spans="3:18">
      <c r="C274" s="9"/>
      <c r="D274" s="9"/>
      <c r="P274" s="16"/>
      <c r="R274" s="2"/>
    </row>
    <row r="275" ht="15.6" spans="3:18">
      <c r="C275" s="9"/>
      <c r="D275" s="9"/>
      <c r="P275" s="16"/>
      <c r="R275" s="2"/>
    </row>
    <row r="276" ht="15.6" spans="3:18">
      <c r="C276" s="9"/>
      <c r="D276" s="9"/>
      <c r="P276" s="16"/>
      <c r="R276" s="2"/>
    </row>
    <row r="277" ht="15.6" spans="3:18">
      <c r="C277" s="9"/>
      <c r="D277" s="9"/>
      <c r="P277" s="16"/>
      <c r="R277" s="2"/>
    </row>
    <row r="278" ht="15.6" spans="3:18">
      <c r="C278" s="9"/>
      <c r="D278" s="9"/>
      <c r="P278" s="16"/>
      <c r="R278" s="2"/>
    </row>
    <row r="279" ht="15.6" spans="3:18">
      <c r="C279" s="9"/>
      <c r="D279" s="9"/>
      <c r="P279" s="16"/>
      <c r="R279" s="2"/>
    </row>
    <row r="280" ht="15.6" spans="3:18">
      <c r="C280" s="9"/>
      <c r="D280" s="9"/>
      <c r="P280" s="16"/>
      <c r="R280" s="2"/>
    </row>
    <row r="281" ht="15.6" spans="3:18">
      <c r="C281" s="9"/>
      <c r="D281" s="9"/>
      <c r="P281" s="16"/>
      <c r="R281" s="2"/>
    </row>
    <row r="282" ht="15.6" spans="3:18">
      <c r="C282" s="9"/>
      <c r="D282" s="9"/>
      <c r="P282" s="16"/>
      <c r="R282" s="2"/>
    </row>
    <row r="283" ht="15.6" spans="3:18">
      <c r="C283" s="9"/>
      <c r="D283" s="9"/>
      <c r="P283" s="16"/>
      <c r="R283" s="2"/>
    </row>
    <row r="284" ht="15.6" spans="3:18">
      <c r="C284" s="9"/>
      <c r="D284" s="9"/>
      <c r="P284" s="16"/>
      <c r="R284" s="2"/>
    </row>
    <row r="285" ht="15.6" spans="3:18">
      <c r="C285" s="9"/>
      <c r="D285" s="9"/>
      <c r="P285" s="16"/>
      <c r="R285" s="2"/>
    </row>
    <row r="286" ht="15.6" spans="3:18">
      <c r="C286" s="9"/>
      <c r="D286" s="9"/>
      <c r="P286" s="16"/>
      <c r="R286" s="2"/>
    </row>
    <row r="287" ht="15.6" spans="3:18">
      <c r="C287" s="9"/>
      <c r="D287" s="9"/>
      <c r="P287" s="16"/>
      <c r="R287" s="2"/>
    </row>
    <row r="288" ht="15.6" spans="3:16">
      <c r="C288" s="9"/>
      <c r="D288" s="9"/>
      <c r="P288" s="16"/>
    </row>
    <row r="289" ht="15.6" spans="3:16">
      <c r="C289" s="9"/>
      <c r="D289" s="9"/>
      <c r="P289" s="16"/>
    </row>
    <row r="290" ht="15.6" spans="3:16">
      <c r="C290" s="9"/>
      <c r="D290" s="9"/>
      <c r="P290" s="16"/>
    </row>
    <row r="291" ht="15.6" spans="3:16">
      <c r="C291" s="9"/>
      <c r="D291" s="9"/>
      <c r="P291" s="16"/>
    </row>
    <row r="292" ht="15.6" spans="3:16">
      <c r="C292" s="9"/>
      <c r="D292" s="9"/>
      <c r="P292" s="16"/>
    </row>
    <row r="293" ht="15.6" spans="3:16">
      <c r="C293" s="9"/>
      <c r="D293" s="9"/>
      <c r="P293" s="16"/>
    </row>
    <row r="294" ht="15.6" spans="3:16">
      <c r="C294" s="9"/>
      <c r="D294" s="9"/>
      <c r="P294" s="16"/>
    </row>
    <row r="295" ht="15.6" spans="3:16">
      <c r="C295" s="9"/>
      <c r="D295" s="9"/>
      <c r="P295" s="16"/>
    </row>
    <row r="296" ht="15.6" spans="3:16">
      <c r="C296" s="9"/>
      <c r="D296" s="9"/>
      <c r="P296" s="16"/>
    </row>
    <row r="297" ht="15.6" spans="3:16">
      <c r="C297" s="9"/>
      <c r="D297" s="9"/>
      <c r="P297" s="16"/>
    </row>
    <row r="298" ht="15.6" spans="3:16">
      <c r="C298" s="9"/>
      <c r="D298" s="9"/>
      <c r="P298" s="16"/>
    </row>
    <row r="299" ht="15.6" spans="16:16">
      <c r="P299" s="16"/>
    </row>
    <row r="300" ht="15.6" spans="16:16">
      <c r="P300" s="16"/>
    </row>
    <row r="301" ht="15.6" spans="16:16">
      <c r="P301" s="16"/>
    </row>
    <row r="302" ht="15.6" spans="16:16">
      <c r="P302" s="16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0525FE26A4734573877CCAD587886894_13</vt:lpwstr>
  </property>
  <property fmtid="{D5CDD505-2E9C-101B-9397-08002B2CF9AE}" pid="3" name="KSOProductBuildVer">
    <vt:lpwstr>2057-12.2.0.22556</vt:lpwstr>
  </property>
</Properties>
</file>