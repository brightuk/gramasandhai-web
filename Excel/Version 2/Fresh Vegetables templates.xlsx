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tabRatio="243"/>
  </bookViews>
  <sheets>
    <sheet name="Sheet1" sheetId="1" r:id="rId1"/>
  </sheets>
  <definedNames>
    <definedName name="_xlnm._FilterDatabase" localSheetId="0" hidden="1">Sheet1!$A$1:$AA$448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<sst xmlns="http://schemas.openxmlformats.org/spreadsheetml/2006/main" count="648" uniqueCount="106">
  <si>
    <t>Id</t>
  </si>
  <si>
    <t>Products Name</t>
  </si>
  <si>
    <t>Quantity Type</t>
  </si>
  <si>
    <t>Tax_id</t>
  </si>
  <si>
    <t>Fssai_no</t>
  </si>
  <si>
    <t>Category_id</t>
  </si>
  <si>
    <t>Subcategory_id</t>
  </si>
  <si>
    <t>Is Variant</t>
  </si>
  <si>
    <t>Product label</t>
  </si>
  <si>
    <t>Product Price</t>
  </si>
  <si>
    <t>Discount type</t>
  </si>
  <si>
    <t>Discount Value</t>
  </si>
  <si>
    <t>Stock</t>
  </si>
  <si>
    <t>SKU_code</t>
  </si>
  <si>
    <t>HSN_code</t>
  </si>
  <si>
    <t>Product_type</t>
  </si>
  <si>
    <t>Manufacturer</t>
  </si>
  <si>
    <t>Made_in</t>
  </si>
  <si>
    <t>Return_status</t>
  </si>
  <si>
    <t>Cancelable_status</t>
  </si>
  <si>
    <t>Cod_allowed</t>
  </si>
  <si>
    <t>Total_quantity</t>
  </si>
  <si>
    <t>Main_image</t>
  </si>
  <si>
    <t>Other_images</t>
  </si>
  <si>
    <t>Size_chart</t>
  </si>
  <si>
    <t>Description</t>
  </si>
  <si>
    <t>Shipping_policy</t>
  </si>
  <si>
    <t>Ooty Carrot</t>
  </si>
  <si>
    <t>250 Gms</t>
  </si>
  <si>
    <t>*******</t>
  </si>
  <si>
    <t>India</t>
  </si>
  <si>
    <t>*************</t>
  </si>
  <si>
    <t>Radish</t>
  </si>
  <si>
    <t>500 Gms</t>
  </si>
  <si>
    <t>Carrot</t>
  </si>
  <si>
    <t>Beetroot</t>
  </si>
  <si>
    <t>250 gms</t>
  </si>
  <si>
    <t>Red Raddish (Organically Grown)</t>
  </si>
  <si>
    <t>White Radish</t>
  </si>
  <si>
    <t>Elephant Foot Yam</t>
  </si>
  <si>
    <t>Nookal</t>
  </si>
  <si>
    <t>Seambu</t>
  </si>
  <si>
    <t>Pidi Karunai</t>
  </si>
  <si>
    <t>Arbi - Colocasia</t>
  </si>
  <si>
    <t>Double Beans</t>
  </si>
  <si>
    <t>Beans Cluster</t>
  </si>
  <si>
    <t>French Beans</t>
  </si>
  <si>
    <t>1 Kg</t>
  </si>
  <si>
    <t>Beans Thin Cowpea</t>
  </si>
  <si>
    <t>Beans Bush</t>
  </si>
  <si>
    <t>Ladies finger</t>
  </si>
  <si>
    <t>Green Brinjal</t>
  </si>
  <si>
    <t>Lab Lab Long</t>
  </si>
  <si>
    <t>Brinjal Vari</t>
  </si>
  <si>
    <t>Brinjal Ujala</t>
  </si>
  <si>
    <t>Pattani</t>
  </si>
  <si>
    <t>Avarakkai</t>
  </si>
  <si>
    <t>Red Brinjal</t>
  </si>
  <si>
    <t>Karamani</t>
  </si>
  <si>
    <t>Mullu Brinjal</t>
  </si>
  <si>
    <t>Gundu Brinjal</t>
  </si>
  <si>
    <t>Broccoli</t>
  </si>
  <si>
    <t>Cauliflower</t>
  </si>
  <si>
    <t>Cabbage</t>
  </si>
  <si>
    <t>Red Capsicum</t>
  </si>
  <si>
    <t>Regular Cucumber</t>
  </si>
  <si>
    <t>Green Capsicum</t>
  </si>
  <si>
    <t>Cucumber Organic</t>
  </si>
  <si>
    <t>Yellow Capsicum</t>
  </si>
  <si>
    <t>Malabar Cucumber</t>
  </si>
  <si>
    <t>White Cucumber</t>
  </si>
  <si>
    <t>Ridge Gourd</t>
  </si>
  <si>
    <t>Snake Gourd</t>
  </si>
  <si>
    <t>Fresh Drumstick</t>
  </si>
  <si>
    <t>Bitter Gourd</t>
  </si>
  <si>
    <t>Pumpkin</t>
  </si>
  <si>
    <t>Ivy Gourd</t>
  </si>
  <si>
    <t>Ash Gourd</t>
  </si>
  <si>
    <t>Green Plantain (Raw Banana)</t>
  </si>
  <si>
    <t>Yellow Pumpkin</t>
  </si>
  <si>
    <t>Peerkangai</t>
  </si>
  <si>
    <t>Pudalankai</t>
  </si>
  <si>
    <t>Small Bitter Gourd (Pagarkai)</t>
  </si>
  <si>
    <t>Bottle Gourd</t>
  </si>
  <si>
    <t>Baby Corn</t>
  </si>
  <si>
    <t>Sweet Corn</t>
  </si>
  <si>
    <t>200 Gms</t>
  </si>
  <si>
    <t>Button Mushroom</t>
  </si>
  <si>
    <t>100 Gms</t>
  </si>
  <si>
    <t>Green Peas</t>
  </si>
  <si>
    <t>Spring Onion</t>
  </si>
  <si>
    <t>1 Bunch</t>
  </si>
  <si>
    <t>Onion</t>
  </si>
  <si>
    <t>Sambar Fresh Onions</t>
  </si>
  <si>
    <t>Small Onion</t>
  </si>
  <si>
    <t>White Onion</t>
  </si>
  <si>
    <t>Onion Bellary</t>
  </si>
  <si>
    <t>Tomato Hybrid</t>
  </si>
  <si>
    <t>Tomato</t>
  </si>
  <si>
    <t>Desi Tomato</t>
  </si>
  <si>
    <t>Bangalore Tomato</t>
  </si>
  <si>
    <t>Tomato Nadu</t>
  </si>
  <si>
    <t>Potato</t>
  </si>
  <si>
    <t>Sweet Potato</t>
  </si>
  <si>
    <t>Baby Potato</t>
  </si>
  <si>
    <t>Ooty Potato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</si>
</sst>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b/>
      <sz val="11"/>
      <name val="Consolas"/>
      <charset val="134"/>
    </font>
    <font>
      <sz val="11"/>
      <color rgb="FF444444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NumberFormat="1" applyFont="1" applyFill="1" applyAlignment="1">
      <alignment wrapText="1"/>
    </xf>
    <xf numFmtId="0" fontId="1" fillId="0" borderId="0" xfId="0" applyNumberFormat="1" applyFont="1" applyFill="1" applyAlignment="1"/>
    <xf numFmtId="0" fontId="4" fillId="0" borderId="0" xfId="0" applyFont="1" applyAlignment="1"/>
    <xf numFmtId="0" fontId="1" fillId="0" borderId="0" xfId="0" applyNumberFormat="1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1" fillId="0" borderId="0" xfId="0" applyNumberFormat="1" applyFont="1" applyFill="1" applyAlignment="1">
      <alignment horizontal="left"/>
    </xf>
    <xf numFmtId="0" fontId="0" fillId="0" borderId="0" xfId="0" applyFill="1" applyAlignment="1">
      <alignment horizontal="center" vertical="center"/>
    </xf>
    <xf numFmtId="0" fontId="1" fillId="0" borderId="0" xfId="0" applyNumberFormat="1" applyFont="1" applyFill="1" applyAlignment="1">
      <alignment horizontal="center" wrapText="1"/>
    </xf>
    <xf numFmtId="0" fontId="4" fillId="0" borderId="0" xfId="0" applyFont="1" applyAlignment="1">
      <alignment horizontal="center"/>
    </xf>
    <xf numFmtId="0" fontId="6" fillId="2" borderId="0" xfId="0" applyFont="1" applyFill="1" applyAlignment="1">
      <alignment horizontal="right" vertical="center"/>
    </xf>
    <xf numFmtId="22" fontId="6" fillId="2" borderId="0" xfId="0" applyNumberFormat="1" applyFon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0</xdr:col>
      <xdr:colOff>7620</xdr:colOff>
      <xdr:row>8</xdr:row>
      <xdr:rowOff>7620</xdr:rowOff>
    </xdr:to>
    <xdr:pic>
      <xdr:nvPicPr>
        <xdr:cNvPr id="3" name="Picture 2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58496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7620</xdr:colOff>
      <xdr:row>16</xdr:row>
      <xdr:rowOff>0</xdr:rowOff>
    </xdr:to>
    <xdr:sp>
      <xdr:nvSpPr>
        <xdr:cNvPr id="1028" name="Host Control  4"/>
        <xdr:cNvSpPr/>
      </xdr:nvSpPr>
      <xdr:spPr>
        <a:xfrm>
          <a:off x="0" y="2971800"/>
          <a:ext cx="7620" cy="198120"/>
        </a:xfrm>
        <a:prstGeom prst="rect">
          <a:avLst/>
        </a:prstGeom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448"/>
  <sheetViews>
    <sheetView tabSelected="1" zoomScale="145" zoomScaleNormal="145" topLeftCell="A57" workbookViewId="0">
      <selection activeCell="E80" sqref="E80"/>
    </sheetView>
  </sheetViews>
  <sheetFormatPr defaultColWidth="8.85185185185185" defaultRowHeight="14.4"/>
  <cols>
    <col min="1" max="1" width="8.22222222222222" customWidth="1"/>
    <col min="2" max="2" width="42.0185185185185" customWidth="1"/>
    <col min="3" max="3" width="15.5555555555556" customWidth="1"/>
    <col min="4" max="4" width="7.44444444444444" customWidth="1"/>
    <col min="5" max="5" width="26.5555555555556" customWidth="1"/>
    <col min="6" max="6" width="12.7777777777778" customWidth="1"/>
    <col min="7" max="7" width="16.7777777777778" customWidth="1"/>
    <col min="8" max="8" width="16.7777777777778" style="2" customWidth="1"/>
    <col min="9" max="9" width="18.712962962963" customWidth="1"/>
    <col min="10" max="10" width="16.7407407407407" style="3" customWidth="1"/>
    <col min="11" max="12" width="18.712962962963" style="2" customWidth="1"/>
    <col min="13" max="13" width="9.88888888888889" style="2" customWidth="1"/>
    <col min="14" max="14" width="17.1111111111111" style="2" customWidth="1"/>
    <col min="15" max="15" width="24.4444444444444" style="2" customWidth="1"/>
    <col min="16" max="16" width="15" style="2" customWidth="1"/>
    <col min="17" max="17" width="20.0925925925926" style="2" customWidth="1"/>
    <col min="18" max="18" width="15.1388888888889" customWidth="1"/>
    <col min="19" max="19" width="15.8518518518519" customWidth="1"/>
    <col min="20" max="20" width="19.4259259259259" customWidth="1"/>
    <col min="21" max="21" width="17.1388888888889" customWidth="1"/>
    <col min="22" max="22" width="17.712962962963" customWidth="1"/>
    <col min="23" max="23" width="18.712962962963" customWidth="1"/>
    <col min="24" max="24" width="23.3333333333333" customWidth="1"/>
    <col min="25" max="25" width="16.1388888888889" customWidth="1"/>
    <col min="26" max="26" width="16.4259259259259" customWidth="1"/>
    <col min="27" max="27" width="15.287037037037" customWidth="1"/>
    <col min="29" max="29" width="16.712962962963" customWidth="1"/>
  </cols>
  <sheetData>
    <row r="1" s="1" customFormat="1" ht="15.6" customHeight="1" spans="1:36">
      <c r="A1" s="4" t="s">
        <v>0</v>
      </c>
      <c r="B1" s="5" t="s">
        <v>1</v>
      </c>
      <c r="C1" s="6" t="s">
        <v>2</v>
      </c>
      <c r="D1" s="5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11" t="s">
        <v>9</v>
      </c>
      <c r="K1" s="6" t="s">
        <v>10</v>
      </c>
      <c r="L1" s="12" t="s">
        <v>11</v>
      </c>
      <c r="M1" s="5" t="s">
        <v>12</v>
      </c>
      <c r="N1" s="6" t="s">
        <v>13</v>
      </c>
      <c r="O1" s="5" t="s">
        <v>14</v>
      </c>
      <c r="P1" s="5" t="s">
        <v>15</v>
      </c>
      <c r="Q1" s="4" t="s">
        <v>16</v>
      </c>
      <c r="R1" s="5" t="s">
        <v>17</v>
      </c>
      <c r="S1" s="6" t="s">
        <v>18</v>
      </c>
      <c r="T1" s="5" t="s">
        <v>19</v>
      </c>
      <c r="U1" s="4" t="s">
        <v>20</v>
      </c>
      <c r="V1" s="5" t="s">
        <v>21</v>
      </c>
      <c r="W1" s="6" t="s">
        <v>22</v>
      </c>
      <c r="X1" s="5" t="s">
        <v>23</v>
      </c>
      <c r="Y1" s="4" t="s">
        <v>24</v>
      </c>
      <c r="Z1" s="5" t="s">
        <v>25</v>
      </c>
      <c r="AA1" s="6" t="s">
        <v>26</v>
      </c>
      <c r="AB1" s="5"/>
      <c r="AC1" s="4"/>
      <c r="AD1" s="5"/>
      <c r="AE1" s="6"/>
      <c r="AF1" s="5"/>
      <c r="AG1" s="4"/>
      <c r="AH1" s="5"/>
      <c r="AI1" s="6"/>
      <c r="AJ1" s="5"/>
    </row>
    <row r="2" ht="15.6" spans="1:27">
      <c r="A2" s="7" cm="1">
        <f t="array" ref="A2:A70">_xlfn.SEQUENCE(69,1,1,1)</f>
        <v>1</v>
      </c>
      <c r="B2" s="8" t="s">
        <v>27</v>
      </c>
      <c r="C2" s="9">
        <v>1</v>
      </c>
      <c r="D2" s="9">
        <v>1</v>
      </c>
      <c r="E2" s="8" t="str" cm="1">
        <f ca="1" t="array" ref="E2">_xlfn.TEXTJOIN("",TRUE,CHAR(RANDBETWEEN(65,90+0*_xlfn.SEQUENCE(15))))</f>
        <v>ZFXVADZMHVDXOZQ</v>
      </c>
      <c r="F2" s="8">
        <f t="shared" ref="F2:F65" si="0">2</f>
        <v>2</v>
      </c>
      <c r="G2" s="8">
        <f t="shared" ref="G2:G17" si="1">159</f>
        <v>159</v>
      </c>
      <c r="H2" s="10">
        <v>0</v>
      </c>
      <c r="I2" s="8" t="s">
        <v>28</v>
      </c>
      <c r="J2" s="13">
        <v>20</v>
      </c>
      <c r="K2" s="10">
        <v>0</v>
      </c>
      <c r="L2" s="10">
        <v>20</v>
      </c>
      <c r="M2" s="10">
        <v>1</v>
      </c>
      <c r="N2" s="14">
        <v>10000148</v>
      </c>
      <c r="O2" s="15" t="str" cm="1">
        <f ca="1" t="array" ref="O2">_xlfn.TEXTJOIN("",TRUE,CHAR(RANDBETWEEN(65,90+0*_xlfn.SEQUENCE(15))))</f>
        <v>TKBTPUQGZYLCLNV</v>
      </c>
      <c r="P2" s="16">
        <v>1</v>
      </c>
      <c r="Q2" s="2" t="s">
        <v>29</v>
      </c>
      <c r="R2" s="2" t="s">
        <v>30</v>
      </c>
      <c r="S2" s="8">
        <v>1</v>
      </c>
      <c r="T2" s="8">
        <v>1</v>
      </c>
      <c r="U2" s="8">
        <v>1</v>
      </c>
      <c r="V2" s="8">
        <v>1</v>
      </c>
      <c r="W2" t="s">
        <v>31</v>
      </c>
      <c r="X2" t="s">
        <v>31</v>
      </c>
      <c r="Y2" t="s">
        <v>31</v>
      </c>
      <c r="Z2" t="s">
        <v>31</v>
      </c>
      <c r="AA2" t="s">
        <v>31</v>
      </c>
    </row>
    <row r="3" ht="15.6" spans="1:27">
      <c r="A3" s="7">
        <v>2</v>
      </c>
      <c r="B3" s="8" t="s">
        <v>32</v>
      </c>
      <c r="C3" s="9">
        <v>1</v>
      </c>
      <c r="D3" s="9">
        <v>1</v>
      </c>
      <c r="E3" s="8" t="str" cm="1">
        <f ca="1" t="array" ref="E3">_xlfn.TEXTJOIN("",TRUE,CHAR(RANDBETWEEN(65,90+0*_xlfn.SEQUENCE(15))))</f>
        <v>TGZDMMIIDAEBQOP</v>
      </c>
      <c r="F3" s="8">
        <f t="shared" si="0"/>
        <v>2</v>
      </c>
      <c r="G3" s="8">
        <f t="shared" si="1"/>
        <v>159</v>
      </c>
      <c r="H3" s="10">
        <v>0</v>
      </c>
      <c r="I3" s="8" t="s">
        <v>33</v>
      </c>
      <c r="J3" s="13">
        <v>25</v>
      </c>
      <c r="K3" s="10">
        <v>1</v>
      </c>
      <c r="L3" s="10">
        <v>20</v>
      </c>
      <c r="M3" s="10">
        <v>1</v>
      </c>
      <c r="N3" s="14">
        <v>10000159</v>
      </c>
      <c r="O3" s="15" t="str" cm="1">
        <f ca="1" t="array" ref="O3">_xlfn.TEXTJOIN("",TRUE,CHAR(RANDBETWEEN(65,90+0*_xlfn.SEQUENCE(15))))</f>
        <v>CCHXUNMFQZAQJSJ</v>
      </c>
      <c r="P3" s="16">
        <v>1</v>
      </c>
      <c r="Q3" s="2" t="s">
        <v>29</v>
      </c>
      <c r="R3" s="2" t="s">
        <v>30</v>
      </c>
      <c r="S3">
        <v>1</v>
      </c>
      <c r="T3">
        <v>1</v>
      </c>
      <c r="U3">
        <v>1</v>
      </c>
      <c r="V3">
        <v>1</v>
      </c>
      <c r="W3" t="s">
        <v>31</v>
      </c>
      <c r="X3" t="s">
        <v>31</v>
      </c>
      <c r="Y3" t="s">
        <v>31</v>
      </c>
      <c r="Z3" t="s">
        <v>31</v>
      </c>
      <c r="AA3" t="s">
        <v>31</v>
      </c>
    </row>
    <row r="4" ht="15.6" spans="1:27">
      <c r="A4" s="8">
        <v>3</v>
      </c>
      <c r="B4" s="8" t="s">
        <v>34</v>
      </c>
      <c r="C4" s="9">
        <v>1</v>
      </c>
      <c r="D4" s="9">
        <v>1</v>
      </c>
      <c r="E4" s="8" t="str" cm="1">
        <f ca="1" t="array" ref="E4">_xlfn.TEXTJOIN("",TRUE,CHAR(RANDBETWEEN(65,90+0*_xlfn.SEQUENCE(15))))</f>
        <v>MGZRPJNNRHKMQYA</v>
      </c>
      <c r="F4" s="8">
        <f t="shared" si="0"/>
        <v>2</v>
      </c>
      <c r="G4" s="8">
        <f t="shared" si="1"/>
        <v>159</v>
      </c>
      <c r="H4" s="10">
        <v>0</v>
      </c>
      <c r="I4" s="8" t="s">
        <v>33</v>
      </c>
      <c r="J4" s="13">
        <v>40</v>
      </c>
      <c r="K4" s="10">
        <v>1</v>
      </c>
      <c r="L4" s="10">
        <v>10</v>
      </c>
      <c r="M4" s="10">
        <v>1</v>
      </c>
      <c r="N4" s="14">
        <v>10000194</v>
      </c>
      <c r="O4" s="15" t="str" cm="1">
        <f ca="1" t="array" ref="O4">_xlfn.TEXTJOIN("",TRUE,CHAR(RANDBETWEEN(65,90+0*_xlfn.SEQUENCE(15))))</f>
        <v>RRFKFEDWBUCXLAF</v>
      </c>
      <c r="P4" s="16">
        <v>1</v>
      </c>
      <c r="Q4" s="2" t="s">
        <v>29</v>
      </c>
      <c r="R4" s="2" t="s">
        <v>30</v>
      </c>
      <c r="S4">
        <v>1</v>
      </c>
      <c r="T4">
        <v>1</v>
      </c>
      <c r="U4">
        <v>1</v>
      </c>
      <c r="V4">
        <v>1</v>
      </c>
      <c r="W4" t="s">
        <v>31</v>
      </c>
      <c r="X4" t="s">
        <v>31</v>
      </c>
      <c r="Y4" t="s">
        <v>31</v>
      </c>
      <c r="Z4" t="s">
        <v>31</v>
      </c>
      <c r="AA4" t="s">
        <v>31</v>
      </c>
    </row>
    <row r="5" ht="15.6" spans="1:27">
      <c r="A5" s="8">
        <v>4</v>
      </c>
      <c r="B5" s="8" t="s">
        <v>35</v>
      </c>
      <c r="C5" s="9">
        <v>1</v>
      </c>
      <c r="D5" s="9">
        <v>1</v>
      </c>
      <c r="E5" s="8" t="str" cm="1">
        <f ca="1" t="array" ref="E5">_xlfn.TEXTJOIN("",TRUE,CHAR(RANDBETWEEN(65,90+0*_xlfn.SEQUENCE(15))))</f>
        <v>WMRWQVAZXUZNKNA</v>
      </c>
      <c r="F5" s="8">
        <f t="shared" si="0"/>
        <v>2</v>
      </c>
      <c r="G5" s="8">
        <f t="shared" si="1"/>
        <v>159</v>
      </c>
      <c r="H5" s="10">
        <v>0</v>
      </c>
      <c r="I5" s="8" t="s">
        <v>36</v>
      </c>
      <c r="J5" s="13">
        <v>13</v>
      </c>
      <c r="K5" s="10">
        <v>1</v>
      </c>
      <c r="L5" s="10">
        <v>10</v>
      </c>
      <c r="M5" s="10">
        <v>1</v>
      </c>
      <c r="N5" s="14">
        <v>10000200</v>
      </c>
      <c r="O5" s="15" t="str" cm="1">
        <f ca="1" t="array" ref="O5">_xlfn.TEXTJOIN("",TRUE,CHAR(RANDBETWEEN(65,90+0*_xlfn.SEQUENCE(15))))</f>
        <v>MZELYLJSBVYZIPR</v>
      </c>
      <c r="P5" s="16">
        <v>1</v>
      </c>
      <c r="Q5" s="2" t="s">
        <v>29</v>
      </c>
      <c r="R5" s="2" t="s">
        <v>30</v>
      </c>
      <c r="S5">
        <v>1</v>
      </c>
      <c r="T5">
        <v>1</v>
      </c>
      <c r="U5">
        <v>1</v>
      </c>
      <c r="V5">
        <v>1</v>
      </c>
      <c r="W5" t="s">
        <v>31</v>
      </c>
      <c r="X5" t="s">
        <v>31</v>
      </c>
      <c r="Y5" t="s">
        <v>31</v>
      </c>
      <c r="Z5" t="s">
        <v>31</v>
      </c>
      <c r="AA5" t="s">
        <v>31</v>
      </c>
    </row>
    <row r="6" ht="15.6" spans="1:27">
      <c r="A6" s="8">
        <v>5</v>
      </c>
      <c r="B6" s="8" t="s">
        <v>37</v>
      </c>
      <c r="C6" s="9">
        <v>1</v>
      </c>
      <c r="D6" s="9">
        <v>1</v>
      </c>
      <c r="E6" s="8" t="str" cm="1">
        <f ca="1" t="array" ref="E6">_xlfn.TEXTJOIN("",TRUE,CHAR(RANDBETWEEN(65,90+0*_xlfn.SEQUENCE(15))))</f>
        <v>PEKWOKQVHYAJVPB</v>
      </c>
      <c r="F6" s="8">
        <f t="shared" si="0"/>
        <v>2</v>
      </c>
      <c r="G6" s="8">
        <f t="shared" si="1"/>
        <v>159</v>
      </c>
      <c r="H6" s="10">
        <v>0</v>
      </c>
      <c r="I6" s="8" t="s">
        <v>28</v>
      </c>
      <c r="J6" s="13">
        <v>15</v>
      </c>
      <c r="K6" s="10">
        <v>0</v>
      </c>
      <c r="L6" s="10">
        <v>10</v>
      </c>
      <c r="M6" s="10">
        <v>1</v>
      </c>
      <c r="N6" s="14">
        <v>40021628</v>
      </c>
      <c r="O6" s="15" t="str" cm="1">
        <f ca="1" t="array" ref="O6">_xlfn.TEXTJOIN("",TRUE,CHAR(RANDBETWEEN(65,90+0*_xlfn.SEQUENCE(15))))</f>
        <v>RYIGAEHAYWHUUDH</v>
      </c>
      <c r="P6" s="16">
        <v>1</v>
      </c>
      <c r="Q6" s="2" t="s">
        <v>29</v>
      </c>
      <c r="R6" s="2" t="s">
        <v>30</v>
      </c>
      <c r="S6">
        <v>1</v>
      </c>
      <c r="T6">
        <v>1</v>
      </c>
      <c r="U6">
        <v>1</v>
      </c>
      <c r="V6">
        <v>1</v>
      </c>
      <c r="W6" t="s">
        <v>31</v>
      </c>
      <c r="X6" t="s">
        <v>31</v>
      </c>
      <c r="Y6" t="s">
        <v>31</v>
      </c>
      <c r="Z6" t="s">
        <v>31</v>
      </c>
      <c r="AA6" t="s">
        <v>31</v>
      </c>
    </row>
    <row r="7" ht="15.6" spans="1:28">
      <c r="A7" s="8">
        <v>6</v>
      </c>
      <c r="B7" s="8" t="s">
        <v>38</v>
      </c>
      <c r="C7" s="9">
        <v>1</v>
      </c>
      <c r="D7" s="9">
        <v>1</v>
      </c>
      <c r="E7" s="8" t="str" cm="1">
        <f ca="1" t="array" ref="E7">_xlfn.TEXTJOIN("",TRUE,CHAR(RANDBETWEEN(65,90+0*_xlfn.SEQUENCE(15))))</f>
        <v>YBLNTFCUUNFJEYQ</v>
      </c>
      <c r="F7" s="8">
        <f t="shared" si="0"/>
        <v>2</v>
      </c>
      <c r="G7" s="8">
        <f t="shared" si="1"/>
        <v>159</v>
      </c>
      <c r="H7" s="10">
        <v>0</v>
      </c>
      <c r="I7" s="8" t="s">
        <v>33</v>
      </c>
      <c r="J7" s="13">
        <v>25</v>
      </c>
      <c r="K7" s="10">
        <v>0</v>
      </c>
      <c r="L7" s="10">
        <v>10</v>
      </c>
      <c r="M7" s="10">
        <v>1</v>
      </c>
      <c r="N7" s="14">
        <v>10000148</v>
      </c>
      <c r="O7" s="15" t="str" cm="1">
        <f ca="1" t="array" ref="O7">_xlfn.TEXTJOIN("",TRUE,CHAR(RANDBETWEEN(65,90+0*_xlfn.SEQUENCE(15))))</f>
        <v>ZYBPFOALXZEZOUH</v>
      </c>
      <c r="P7" s="16">
        <v>1</v>
      </c>
      <c r="Q7" s="2" t="s">
        <v>29</v>
      </c>
      <c r="R7" s="2" t="s">
        <v>30</v>
      </c>
      <c r="S7">
        <v>1</v>
      </c>
      <c r="T7">
        <v>1</v>
      </c>
      <c r="U7">
        <v>1</v>
      </c>
      <c r="V7">
        <v>1</v>
      </c>
      <c r="W7" t="s">
        <v>31</v>
      </c>
      <c r="X7" t="s">
        <v>31</v>
      </c>
      <c r="Y7" t="s">
        <v>31</v>
      </c>
      <c r="Z7" t="s">
        <v>31</v>
      </c>
      <c r="AA7" t="s">
        <v>31</v>
      </c>
      <c r="AB7" s="8"/>
    </row>
    <row r="8" ht="15.6" spans="1:27">
      <c r="A8" s="8">
        <v>7</v>
      </c>
      <c r="B8" s="8" t="s">
        <v>39</v>
      </c>
      <c r="C8" s="9">
        <v>1</v>
      </c>
      <c r="D8" s="9">
        <v>1</v>
      </c>
      <c r="E8" s="8" t="str" cm="1">
        <f ca="1" t="array" ref="E8">_xlfn.TEXTJOIN("",TRUE,CHAR(RANDBETWEEN(65,90+0*_xlfn.SEQUENCE(15))))</f>
        <v>BQLPAPAGJBDVEAC</v>
      </c>
      <c r="F8" s="8">
        <f t="shared" si="0"/>
        <v>2</v>
      </c>
      <c r="G8" s="8">
        <f t="shared" si="1"/>
        <v>159</v>
      </c>
      <c r="H8" s="10">
        <v>0</v>
      </c>
      <c r="I8" s="8" t="s">
        <v>28</v>
      </c>
      <c r="J8" s="13">
        <v>12</v>
      </c>
      <c r="K8" s="10">
        <v>0</v>
      </c>
      <c r="L8" s="10">
        <v>5</v>
      </c>
      <c r="M8" s="10">
        <v>1</v>
      </c>
      <c r="N8" s="14">
        <v>10000159</v>
      </c>
      <c r="O8" s="15" t="str" cm="1">
        <f ca="1" t="array" ref="O8">_xlfn.TEXTJOIN("",TRUE,CHAR(RANDBETWEEN(65,90+0*_xlfn.SEQUENCE(15))))</f>
        <v>QOQAPYUAWUCIMLQ</v>
      </c>
      <c r="P8" s="16">
        <v>1</v>
      </c>
      <c r="Q8" s="2" t="s">
        <v>29</v>
      </c>
      <c r="R8" s="2" t="s">
        <v>30</v>
      </c>
      <c r="S8">
        <v>1</v>
      </c>
      <c r="T8">
        <v>1</v>
      </c>
      <c r="U8">
        <v>1</v>
      </c>
      <c r="V8">
        <v>1</v>
      </c>
      <c r="W8" t="s">
        <v>31</v>
      </c>
      <c r="X8" t="s">
        <v>31</v>
      </c>
      <c r="Y8" t="s">
        <v>31</v>
      </c>
      <c r="Z8" t="s">
        <v>31</v>
      </c>
      <c r="AA8" t="s">
        <v>31</v>
      </c>
    </row>
    <row r="9" ht="15.6" spans="1:27">
      <c r="A9" s="8">
        <v>8</v>
      </c>
      <c r="B9" s="8" t="s">
        <v>40</v>
      </c>
      <c r="C9" s="9">
        <v>1</v>
      </c>
      <c r="D9" s="9">
        <v>1</v>
      </c>
      <c r="E9" s="8" t="str" cm="1">
        <f ca="1" t="array" ref="E9">_xlfn.TEXTJOIN("",TRUE,CHAR(RANDBETWEEN(65,90+0*_xlfn.SEQUENCE(15))))</f>
        <v>YJCNBEMFZIFQHSC</v>
      </c>
      <c r="F9" s="8">
        <f t="shared" si="0"/>
        <v>2</v>
      </c>
      <c r="G9" s="8">
        <f t="shared" si="1"/>
        <v>159</v>
      </c>
      <c r="H9" s="10">
        <v>0</v>
      </c>
      <c r="I9" s="8" t="s">
        <v>33</v>
      </c>
      <c r="J9" s="13">
        <v>38</v>
      </c>
      <c r="K9" s="10">
        <v>0</v>
      </c>
      <c r="L9" s="10">
        <v>5</v>
      </c>
      <c r="M9" s="10">
        <v>1</v>
      </c>
      <c r="N9" s="14">
        <v>10000194</v>
      </c>
      <c r="O9" s="15" t="str" cm="1">
        <f ca="1" t="array" ref="O9">_xlfn.TEXTJOIN("",TRUE,CHAR(RANDBETWEEN(65,90+0*_xlfn.SEQUENCE(15))))</f>
        <v>PNOYVBWZKQLVLVN</v>
      </c>
      <c r="P9" s="16">
        <v>1</v>
      </c>
      <c r="Q9" s="2" t="s">
        <v>29</v>
      </c>
      <c r="R9" s="2" t="s">
        <v>30</v>
      </c>
      <c r="S9">
        <v>1</v>
      </c>
      <c r="T9">
        <v>1</v>
      </c>
      <c r="U9">
        <v>1</v>
      </c>
      <c r="V9">
        <v>1</v>
      </c>
      <c r="W9" t="s">
        <v>31</v>
      </c>
      <c r="X9" t="s">
        <v>31</v>
      </c>
      <c r="Y9" t="s">
        <v>31</v>
      </c>
      <c r="Z9" t="s">
        <v>31</v>
      </c>
      <c r="AA9" t="s">
        <v>31</v>
      </c>
    </row>
    <row r="10" ht="15.6" spans="1:29">
      <c r="A10" s="8">
        <v>9</v>
      </c>
      <c r="B10" s="8" t="s">
        <v>41</v>
      </c>
      <c r="C10" s="9">
        <v>1</v>
      </c>
      <c r="D10" s="9">
        <v>1</v>
      </c>
      <c r="E10" s="8" t="str" cm="1">
        <f ca="1" t="array" ref="E10">_xlfn.TEXTJOIN("",TRUE,CHAR(RANDBETWEEN(65,90+0*_xlfn.SEQUENCE(15))))</f>
        <v>KRPWOCVCWERXUNH</v>
      </c>
      <c r="F10" s="8">
        <f t="shared" si="0"/>
        <v>2</v>
      </c>
      <c r="G10" s="8">
        <f t="shared" si="1"/>
        <v>159</v>
      </c>
      <c r="H10" s="10">
        <v>0</v>
      </c>
      <c r="I10" s="8" t="s">
        <v>28</v>
      </c>
      <c r="J10" s="13">
        <v>20</v>
      </c>
      <c r="K10" s="10">
        <v>0</v>
      </c>
      <c r="L10" s="10">
        <v>5</v>
      </c>
      <c r="M10" s="10">
        <v>1</v>
      </c>
      <c r="N10" s="14">
        <v>10000200</v>
      </c>
      <c r="O10" s="15" t="str" cm="1">
        <f ca="1" t="array" ref="O10">_xlfn.TEXTJOIN("",TRUE,CHAR(RANDBETWEEN(65,90+0*_xlfn.SEQUENCE(15))))</f>
        <v>QCDDKXPWBEWPWWH</v>
      </c>
      <c r="P10" s="16">
        <v>1</v>
      </c>
      <c r="Q10" s="2" t="s">
        <v>29</v>
      </c>
      <c r="R10" s="2" t="s">
        <v>30</v>
      </c>
      <c r="S10">
        <v>1</v>
      </c>
      <c r="T10">
        <v>1</v>
      </c>
      <c r="U10">
        <v>1</v>
      </c>
      <c r="V10">
        <v>1</v>
      </c>
      <c r="W10" t="s">
        <v>31</v>
      </c>
      <c r="X10" t="s">
        <v>31</v>
      </c>
      <c r="Y10" t="s">
        <v>31</v>
      </c>
      <c r="Z10" t="s">
        <v>31</v>
      </c>
      <c r="AA10" t="s">
        <v>31</v>
      </c>
      <c r="AC10" s="8"/>
    </row>
    <row r="11" ht="15.6" spans="1:29">
      <c r="A11" s="8">
        <v>10</v>
      </c>
      <c r="B11" s="8" t="s">
        <v>42</v>
      </c>
      <c r="C11" s="9">
        <v>1</v>
      </c>
      <c r="D11" s="9">
        <v>1</v>
      </c>
      <c r="E11" s="8" t="str" cm="1">
        <f ca="1" t="array" ref="E11">_xlfn.TEXTJOIN("",TRUE,CHAR(RANDBETWEEN(65,90+0*_xlfn.SEQUENCE(15))))</f>
        <v>QUFWWNWACKCNTEA</v>
      </c>
      <c r="F11" s="8">
        <f t="shared" si="0"/>
        <v>2</v>
      </c>
      <c r="G11" s="8">
        <f t="shared" si="1"/>
        <v>159</v>
      </c>
      <c r="H11" s="10">
        <v>0</v>
      </c>
      <c r="I11" s="8" t="s">
        <v>28</v>
      </c>
      <c r="J11" s="13">
        <v>23</v>
      </c>
      <c r="K11" s="10">
        <v>0</v>
      </c>
      <c r="L11" s="10">
        <v>5</v>
      </c>
      <c r="M11" s="10">
        <v>1</v>
      </c>
      <c r="N11" s="14">
        <v>40021628</v>
      </c>
      <c r="O11" s="15" t="str" cm="1">
        <f ca="1" t="array" ref="O11">_xlfn.TEXTJOIN("",TRUE,CHAR(RANDBETWEEN(65,90+0*_xlfn.SEQUENCE(15))))</f>
        <v>MYADCBPCWEFCCGM</v>
      </c>
      <c r="P11" s="16">
        <v>1</v>
      </c>
      <c r="Q11" s="2" t="s">
        <v>29</v>
      </c>
      <c r="R11" s="2" t="s">
        <v>30</v>
      </c>
      <c r="S11">
        <v>1</v>
      </c>
      <c r="T11">
        <v>1</v>
      </c>
      <c r="U11">
        <v>1</v>
      </c>
      <c r="V11">
        <v>1</v>
      </c>
      <c r="W11" t="s">
        <v>31</v>
      </c>
      <c r="X11" t="s">
        <v>31</v>
      </c>
      <c r="Y11" t="s">
        <v>31</v>
      </c>
      <c r="Z11" t="s">
        <v>31</v>
      </c>
      <c r="AA11" t="s">
        <v>31</v>
      </c>
      <c r="AC11" s="8"/>
    </row>
    <row r="12" ht="15.6" spans="1:29">
      <c r="A12" s="8">
        <v>11</v>
      </c>
      <c r="B12" s="8" t="s">
        <v>43</v>
      </c>
      <c r="C12" s="9">
        <v>1</v>
      </c>
      <c r="D12" s="9">
        <v>1</v>
      </c>
      <c r="E12" s="8" t="str" cm="1">
        <f ca="1" t="array" ref="E12">_xlfn.TEXTJOIN("",TRUE,CHAR(RANDBETWEEN(65,90+0*_xlfn.SEQUENCE(15))))</f>
        <v>OSFKTKCACKLIUJB</v>
      </c>
      <c r="F12" s="8">
        <f t="shared" si="0"/>
        <v>2</v>
      </c>
      <c r="G12" s="8">
        <f t="shared" si="1"/>
        <v>159</v>
      </c>
      <c r="H12" s="10">
        <v>0</v>
      </c>
      <c r="I12" s="8" t="s">
        <v>33</v>
      </c>
      <c r="J12" s="13">
        <v>28</v>
      </c>
      <c r="K12" s="10">
        <v>0</v>
      </c>
      <c r="L12" s="10">
        <v>5</v>
      </c>
      <c r="M12" s="10">
        <v>1</v>
      </c>
      <c r="N12" s="14">
        <v>10000148</v>
      </c>
      <c r="O12" s="15" t="str" cm="1">
        <f ca="1" t="array" ref="O12">_xlfn.TEXTJOIN("",TRUE,CHAR(RANDBETWEEN(65,90+0*_xlfn.SEQUENCE(15))))</f>
        <v>HLIXVPXSKDDPHCG</v>
      </c>
      <c r="P12" s="16">
        <v>1</v>
      </c>
      <c r="Q12" s="2" t="s">
        <v>29</v>
      </c>
      <c r="R12" s="2" t="s">
        <v>30</v>
      </c>
      <c r="S12">
        <v>1</v>
      </c>
      <c r="T12">
        <v>1</v>
      </c>
      <c r="U12">
        <v>1</v>
      </c>
      <c r="V12">
        <v>1</v>
      </c>
      <c r="W12" t="s">
        <v>31</v>
      </c>
      <c r="X12" t="s">
        <v>31</v>
      </c>
      <c r="Y12" t="s">
        <v>31</v>
      </c>
      <c r="Z12" t="s">
        <v>31</v>
      </c>
      <c r="AA12" t="s">
        <v>31</v>
      </c>
      <c r="AC12" s="8"/>
    </row>
    <row r="13" ht="15.6" spans="1:29">
      <c r="A13" s="8">
        <v>12</v>
      </c>
      <c r="B13" s="8" t="s">
        <v>44</v>
      </c>
      <c r="C13" s="9">
        <v>1</v>
      </c>
      <c r="D13" s="9">
        <v>1</v>
      </c>
      <c r="E13" s="8" t="str" cm="1">
        <f ca="1" t="array" ref="E13">_xlfn.TEXTJOIN("",TRUE,CHAR(RANDBETWEEN(65,90+0*_xlfn.SEQUENCE(15))))</f>
        <v>NXLXCFFVCYOAMYQ</v>
      </c>
      <c r="F13" s="8">
        <f t="shared" si="0"/>
        <v>2</v>
      </c>
      <c r="G13" s="8">
        <f t="shared" si="1"/>
        <v>159</v>
      </c>
      <c r="H13" s="10">
        <v>0</v>
      </c>
      <c r="I13" s="8" t="s">
        <v>33</v>
      </c>
      <c r="J13" s="13">
        <v>50</v>
      </c>
      <c r="K13" s="10">
        <v>0</v>
      </c>
      <c r="L13" s="10">
        <v>10</v>
      </c>
      <c r="M13" s="10">
        <v>1</v>
      </c>
      <c r="N13" s="14">
        <v>10000159</v>
      </c>
      <c r="O13" s="15" t="str" cm="1">
        <f ca="1" t="array" ref="O13">_xlfn.TEXTJOIN("",TRUE,CHAR(RANDBETWEEN(65,90+0*_xlfn.SEQUENCE(15))))</f>
        <v>WICQIBVUJJMZMFW</v>
      </c>
      <c r="P13" s="16">
        <v>1</v>
      </c>
      <c r="Q13" s="2" t="s">
        <v>29</v>
      </c>
      <c r="R13" s="2" t="s">
        <v>30</v>
      </c>
      <c r="S13">
        <v>1</v>
      </c>
      <c r="T13">
        <v>1</v>
      </c>
      <c r="U13">
        <v>1</v>
      </c>
      <c r="V13">
        <v>1</v>
      </c>
      <c r="W13" t="s">
        <v>31</v>
      </c>
      <c r="X13" t="s">
        <v>31</v>
      </c>
      <c r="Y13" t="s">
        <v>31</v>
      </c>
      <c r="Z13" t="s">
        <v>31</v>
      </c>
      <c r="AA13" t="s">
        <v>31</v>
      </c>
      <c r="AB13" s="8"/>
      <c r="AC13" s="8"/>
    </row>
    <row r="14" ht="15.6" spans="1:31">
      <c r="A14" s="8">
        <v>13</v>
      </c>
      <c r="B14" s="8" t="s">
        <v>45</v>
      </c>
      <c r="C14" s="9">
        <v>1</v>
      </c>
      <c r="D14" s="9">
        <v>1</v>
      </c>
      <c r="E14" s="8" t="str" cm="1">
        <f ca="1" t="array" ref="E14">_xlfn.TEXTJOIN("",TRUE,CHAR(RANDBETWEEN(65,90+0*_xlfn.SEQUENCE(15))))</f>
        <v>GWAJHCGFDXZGCBZ</v>
      </c>
      <c r="F14" s="8">
        <f t="shared" si="0"/>
        <v>2</v>
      </c>
      <c r="G14" s="8">
        <f t="shared" si="1"/>
        <v>159</v>
      </c>
      <c r="H14" s="10">
        <v>0</v>
      </c>
      <c r="I14" s="8" t="s">
        <v>33</v>
      </c>
      <c r="J14" s="13">
        <v>38</v>
      </c>
      <c r="K14" s="10">
        <v>2</v>
      </c>
      <c r="L14" s="10">
        <v>20</v>
      </c>
      <c r="M14" s="10">
        <v>1</v>
      </c>
      <c r="N14" s="14">
        <v>10000194</v>
      </c>
      <c r="O14" s="15" t="str" cm="1">
        <f ca="1" t="array" ref="O14">_xlfn.TEXTJOIN("",TRUE,CHAR(RANDBETWEEN(65,90+0*_xlfn.SEQUENCE(15))))</f>
        <v>YJGKLFOPFZPANOM</v>
      </c>
      <c r="P14" s="16">
        <v>1</v>
      </c>
      <c r="Q14" s="2" t="s">
        <v>29</v>
      </c>
      <c r="R14" s="2" t="s">
        <v>30</v>
      </c>
      <c r="S14">
        <v>1</v>
      </c>
      <c r="T14">
        <v>1</v>
      </c>
      <c r="U14">
        <v>1</v>
      </c>
      <c r="V14">
        <v>1</v>
      </c>
      <c r="W14" t="s">
        <v>31</v>
      </c>
      <c r="X14" t="s">
        <v>31</v>
      </c>
      <c r="Y14" t="s">
        <v>31</v>
      </c>
      <c r="Z14" t="s">
        <v>31</v>
      </c>
      <c r="AA14" t="s">
        <v>31</v>
      </c>
      <c r="AC14" s="8"/>
      <c r="AD14" s="17"/>
      <c r="AE14" s="18"/>
    </row>
    <row r="15" ht="15.6" spans="1:29">
      <c r="A15" s="8">
        <v>14</v>
      </c>
      <c r="B15" s="8" t="s">
        <v>46</v>
      </c>
      <c r="C15" s="9">
        <v>1</v>
      </c>
      <c r="D15" s="9">
        <v>1</v>
      </c>
      <c r="E15" s="8" t="str" cm="1">
        <f ca="1" t="array" ref="E15">_xlfn.TEXTJOIN("",TRUE,CHAR(RANDBETWEEN(65,90+0*_xlfn.SEQUENCE(15))))</f>
        <v>XSXHTAHMKDOBOPF</v>
      </c>
      <c r="F15" s="8">
        <f t="shared" si="0"/>
        <v>2</v>
      </c>
      <c r="G15" s="8">
        <f t="shared" si="1"/>
        <v>159</v>
      </c>
      <c r="H15" s="10">
        <v>0</v>
      </c>
      <c r="I15" s="8" t="s">
        <v>47</v>
      </c>
      <c r="J15" s="13">
        <v>80</v>
      </c>
      <c r="K15" s="10">
        <v>2</v>
      </c>
      <c r="L15" s="10">
        <v>20</v>
      </c>
      <c r="M15" s="10">
        <v>1</v>
      </c>
      <c r="N15" s="14">
        <v>10000200</v>
      </c>
      <c r="O15" s="15" t="str" cm="1">
        <f ca="1" t="array" ref="O15">_xlfn.TEXTJOIN("",TRUE,CHAR(RANDBETWEEN(65,90+0*_xlfn.SEQUENCE(15))))</f>
        <v>NTDIAYYCVTLAOGP</v>
      </c>
      <c r="P15" s="16">
        <v>1</v>
      </c>
      <c r="Q15" s="2" t="s">
        <v>29</v>
      </c>
      <c r="R15" s="2" t="s">
        <v>30</v>
      </c>
      <c r="S15">
        <v>1</v>
      </c>
      <c r="T15">
        <v>1</v>
      </c>
      <c r="U15">
        <v>1</v>
      </c>
      <c r="V15">
        <v>1</v>
      </c>
      <c r="W15" t="s">
        <v>31</v>
      </c>
      <c r="X15" t="s">
        <v>31</v>
      </c>
      <c r="Y15" t="s">
        <v>31</v>
      </c>
      <c r="Z15" t="s">
        <v>31</v>
      </c>
      <c r="AA15" t="s">
        <v>31</v>
      </c>
      <c r="AC15" s="8"/>
    </row>
    <row r="16" ht="15.6" spans="1:29">
      <c r="A16" s="8">
        <v>15</v>
      </c>
      <c r="B16" s="8" t="s">
        <v>48</v>
      </c>
      <c r="C16" s="9">
        <v>1</v>
      </c>
      <c r="D16" s="9">
        <v>1</v>
      </c>
      <c r="E16" s="8" t="str" cm="1">
        <f ca="1" t="array" ref="E16">_xlfn.TEXTJOIN("",TRUE,CHAR(RANDBETWEEN(65,90+0*_xlfn.SEQUENCE(15))))</f>
        <v>SPMHYDDCLPCQXRM</v>
      </c>
      <c r="F16" s="8">
        <f t="shared" si="0"/>
        <v>2</v>
      </c>
      <c r="G16" s="8">
        <f t="shared" si="1"/>
        <v>159</v>
      </c>
      <c r="H16" s="10">
        <v>0</v>
      </c>
      <c r="I16" s="8" t="s">
        <v>28</v>
      </c>
      <c r="J16" s="13">
        <v>15</v>
      </c>
      <c r="K16" s="10">
        <v>2</v>
      </c>
      <c r="L16" s="10">
        <v>10</v>
      </c>
      <c r="M16" s="10">
        <v>1</v>
      </c>
      <c r="N16" s="14">
        <v>40021628</v>
      </c>
      <c r="O16" s="15" t="str" cm="1">
        <f ca="1" t="array" ref="O16">_xlfn.TEXTJOIN("",TRUE,CHAR(RANDBETWEEN(65,90+0*_xlfn.SEQUENCE(15))))</f>
        <v>JVDRYSPDKEMWVEU</v>
      </c>
      <c r="P16" s="16">
        <v>1</v>
      </c>
      <c r="Q16" s="2" t="s">
        <v>29</v>
      </c>
      <c r="R16" s="2" t="s">
        <v>30</v>
      </c>
      <c r="S16">
        <v>1</v>
      </c>
      <c r="T16">
        <v>1</v>
      </c>
      <c r="U16">
        <v>1</v>
      </c>
      <c r="V16">
        <v>1</v>
      </c>
      <c r="W16" t="s">
        <v>31</v>
      </c>
      <c r="X16" t="s">
        <v>31</v>
      </c>
      <c r="Y16" t="s">
        <v>31</v>
      </c>
      <c r="Z16" t="s">
        <v>31</v>
      </c>
      <c r="AA16" t="s">
        <v>31</v>
      </c>
      <c r="AC16" s="8"/>
    </row>
    <row r="17" ht="15.6" spans="1:29">
      <c r="A17" s="8">
        <v>16</v>
      </c>
      <c r="B17" s="8" t="s">
        <v>49</v>
      </c>
      <c r="C17" s="9">
        <v>1</v>
      </c>
      <c r="D17" s="9">
        <v>1</v>
      </c>
      <c r="E17" s="8" t="str" cm="1">
        <f ca="1" t="array" ref="E17">_xlfn.TEXTJOIN("",TRUE,CHAR(RANDBETWEEN(65,90+0*_xlfn.SEQUENCE(15))))</f>
        <v>GSNGAQIMIUVVLKY</v>
      </c>
      <c r="F17" s="8">
        <f t="shared" si="0"/>
        <v>2</v>
      </c>
      <c r="G17" s="8">
        <f t="shared" si="1"/>
        <v>159</v>
      </c>
      <c r="H17" s="10">
        <v>0</v>
      </c>
      <c r="I17" s="8" t="s">
        <v>33</v>
      </c>
      <c r="J17" s="13">
        <v>40</v>
      </c>
      <c r="K17" s="10">
        <v>2</v>
      </c>
      <c r="L17" s="10">
        <v>10</v>
      </c>
      <c r="M17" s="10">
        <v>1</v>
      </c>
      <c r="N17" s="14">
        <v>10000148</v>
      </c>
      <c r="O17" s="15" t="str" cm="1">
        <f ca="1" t="array" ref="O17">_xlfn.TEXTJOIN("",TRUE,CHAR(RANDBETWEEN(65,90+0*_xlfn.SEQUENCE(15))))</f>
        <v>VIQDJAHWGJSXAPF</v>
      </c>
      <c r="P17" s="16">
        <v>1</v>
      </c>
      <c r="Q17" s="2" t="s">
        <v>29</v>
      </c>
      <c r="R17" s="2" t="s">
        <v>30</v>
      </c>
      <c r="S17">
        <v>1</v>
      </c>
      <c r="T17">
        <v>1</v>
      </c>
      <c r="U17">
        <v>1</v>
      </c>
      <c r="V17">
        <v>1</v>
      </c>
      <c r="W17" t="s">
        <v>31</v>
      </c>
      <c r="X17" t="s">
        <v>31</v>
      </c>
      <c r="Y17" t="s">
        <v>31</v>
      </c>
      <c r="Z17" t="s">
        <v>31</v>
      </c>
      <c r="AA17" t="s">
        <v>31</v>
      </c>
      <c r="AC17" s="8"/>
    </row>
    <row r="18" ht="15.6" spans="1:29">
      <c r="A18" s="8">
        <v>17</v>
      </c>
      <c r="B18" s="8" t="s">
        <v>50</v>
      </c>
      <c r="C18" s="9">
        <v>1</v>
      </c>
      <c r="D18" s="9">
        <v>1</v>
      </c>
      <c r="E18" s="8" t="str" cm="1">
        <f ca="1" t="array" ref="E18">_xlfn.TEXTJOIN("",TRUE,CHAR(RANDBETWEEN(65,90+0*_xlfn.SEQUENCE(15))))</f>
        <v>XGQYMHJHQMKQMZL</v>
      </c>
      <c r="F18" s="8">
        <f t="shared" si="0"/>
        <v>2</v>
      </c>
      <c r="G18" s="8">
        <v>154</v>
      </c>
      <c r="H18" s="10">
        <v>0</v>
      </c>
      <c r="I18" s="8" t="s">
        <v>28</v>
      </c>
      <c r="J18" s="13">
        <v>13</v>
      </c>
      <c r="K18" s="10">
        <v>1</v>
      </c>
      <c r="L18" s="10">
        <v>20</v>
      </c>
      <c r="M18" s="10">
        <v>1</v>
      </c>
      <c r="N18" s="14">
        <v>10000159</v>
      </c>
      <c r="O18" s="15" t="str" cm="1">
        <f ca="1" t="array" ref="O18">_xlfn.TEXTJOIN("",TRUE,CHAR(RANDBETWEEN(65,90+0*_xlfn.SEQUENCE(15))))</f>
        <v>NOXFZXMUNNPWSUN</v>
      </c>
      <c r="P18" s="16">
        <v>1</v>
      </c>
      <c r="Q18" s="2" t="s">
        <v>29</v>
      </c>
      <c r="R18" s="2" t="s">
        <v>30</v>
      </c>
      <c r="S18">
        <v>1</v>
      </c>
      <c r="T18">
        <v>1</v>
      </c>
      <c r="U18">
        <v>1</v>
      </c>
      <c r="V18">
        <v>1</v>
      </c>
      <c r="W18" t="s">
        <v>31</v>
      </c>
      <c r="X18" t="s">
        <v>31</v>
      </c>
      <c r="Y18" t="s">
        <v>31</v>
      </c>
      <c r="Z18" t="s">
        <v>31</v>
      </c>
      <c r="AA18" t="s">
        <v>31</v>
      </c>
      <c r="AC18" s="8"/>
    </row>
    <row r="19" ht="15.6" spans="1:28">
      <c r="A19" s="8">
        <v>18</v>
      </c>
      <c r="B19" s="8" t="s">
        <v>51</v>
      </c>
      <c r="C19" s="9">
        <v>1</v>
      </c>
      <c r="D19" s="9">
        <v>1</v>
      </c>
      <c r="E19" s="8" t="str" cm="1">
        <f ca="1" t="array" ref="E19">_xlfn.TEXTJOIN("",TRUE,CHAR(RANDBETWEEN(65,90+0*_xlfn.SEQUENCE(15))))</f>
        <v>JCGSRMXJNXJIUXU</v>
      </c>
      <c r="F19" s="8">
        <f t="shared" si="0"/>
        <v>2</v>
      </c>
      <c r="G19" s="8">
        <v>154</v>
      </c>
      <c r="H19" s="10">
        <v>0</v>
      </c>
      <c r="I19" s="8" t="s">
        <v>33</v>
      </c>
      <c r="J19" s="13">
        <v>25</v>
      </c>
      <c r="K19" s="10">
        <v>1</v>
      </c>
      <c r="L19" s="10">
        <v>10</v>
      </c>
      <c r="M19" s="10">
        <v>1</v>
      </c>
      <c r="N19" s="14">
        <v>10000194</v>
      </c>
      <c r="O19" s="15" t="str" cm="1">
        <f ca="1" t="array" ref="O19">_xlfn.TEXTJOIN("",TRUE,CHAR(RANDBETWEEN(65,90+0*_xlfn.SEQUENCE(15))))</f>
        <v>NFAMPOVOZDYDBFS</v>
      </c>
      <c r="P19" s="16">
        <v>1</v>
      </c>
      <c r="Q19" s="2" t="s">
        <v>29</v>
      </c>
      <c r="R19" s="2" t="s">
        <v>30</v>
      </c>
      <c r="S19">
        <v>1</v>
      </c>
      <c r="T19">
        <v>1</v>
      </c>
      <c r="U19">
        <v>1</v>
      </c>
      <c r="V19">
        <v>1</v>
      </c>
      <c r="W19" t="s">
        <v>31</v>
      </c>
      <c r="X19" t="s">
        <v>31</v>
      </c>
      <c r="Y19" t="s">
        <v>31</v>
      </c>
      <c r="Z19" t="s">
        <v>31</v>
      </c>
      <c r="AA19" t="s">
        <v>31</v>
      </c>
      <c r="AB19" s="8"/>
    </row>
    <row r="20" ht="15.6" spans="1:27">
      <c r="A20" s="8">
        <v>19</v>
      </c>
      <c r="B20" s="8" t="s">
        <v>52</v>
      </c>
      <c r="C20" s="9">
        <v>1</v>
      </c>
      <c r="D20" s="9">
        <v>1</v>
      </c>
      <c r="E20" s="8" t="str" cm="1">
        <f ca="1" t="array" ref="E20">_xlfn.TEXTJOIN("",TRUE,CHAR(RANDBETWEEN(65,90+0*_xlfn.SEQUENCE(15))))</f>
        <v>PKTLXJRMTNAQEVN</v>
      </c>
      <c r="F20" s="8">
        <f t="shared" si="0"/>
        <v>2</v>
      </c>
      <c r="G20" s="8">
        <v>154</v>
      </c>
      <c r="H20" s="10">
        <v>0</v>
      </c>
      <c r="I20" s="8" t="s">
        <v>28</v>
      </c>
      <c r="J20" s="13">
        <v>13</v>
      </c>
      <c r="K20" s="10">
        <v>1</v>
      </c>
      <c r="L20" s="10">
        <v>10</v>
      </c>
      <c r="M20" s="10">
        <v>1</v>
      </c>
      <c r="N20" s="14">
        <v>10000148</v>
      </c>
      <c r="O20" s="15" t="str" cm="1">
        <f ca="1" t="array" ref="O20">_xlfn.TEXTJOIN("",TRUE,CHAR(RANDBETWEEN(65,90+0*_xlfn.SEQUENCE(15))))</f>
        <v>PWPMMQEJCYEVLMB</v>
      </c>
      <c r="P20" s="16">
        <v>1</v>
      </c>
      <c r="Q20" s="2" t="s">
        <v>29</v>
      </c>
      <c r="R20" s="2" t="s">
        <v>30</v>
      </c>
      <c r="S20">
        <v>1</v>
      </c>
      <c r="T20">
        <v>1</v>
      </c>
      <c r="U20">
        <v>1</v>
      </c>
      <c r="V20">
        <v>1</v>
      </c>
      <c r="W20" t="s">
        <v>31</v>
      </c>
      <c r="X20" t="s">
        <v>31</v>
      </c>
      <c r="Y20" t="s">
        <v>31</v>
      </c>
      <c r="Z20" t="s">
        <v>31</v>
      </c>
      <c r="AA20" t="s">
        <v>31</v>
      </c>
    </row>
    <row r="21" ht="15.6" spans="1:27">
      <c r="A21" s="8">
        <v>20</v>
      </c>
      <c r="B21" s="8" t="s">
        <v>53</v>
      </c>
      <c r="C21" s="9">
        <v>1</v>
      </c>
      <c r="D21" s="9">
        <v>1</v>
      </c>
      <c r="E21" s="8" t="str" cm="1">
        <f ca="1" t="array" ref="E21">_xlfn.TEXTJOIN("",TRUE,CHAR(RANDBETWEEN(65,90+0*_xlfn.SEQUENCE(15))))</f>
        <v>CCELRLWYIMOBXXF</v>
      </c>
      <c r="F21" s="8">
        <f t="shared" si="0"/>
        <v>2</v>
      </c>
      <c r="G21" s="8">
        <v>154</v>
      </c>
      <c r="H21" s="10">
        <v>0</v>
      </c>
      <c r="I21" s="8" t="s">
        <v>33</v>
      </c>
      <c r="J21" s="13">
        <v>30</v>
      </c>
      <c r="K21" s="10">
        <v>0</v>
      </c>
      <c r="L21" s="10">
        <v>10</v>
      </c>
      <c r="M21" s="10">
        <v>1</v>
      </c>
      <c r="N21" s="14">
        <v>10000159</v>
      </c>
      <c r="O21" s="15" t="str" cm="1">
        <f ca="1" t="array" ref="O21">_xlfn.TEXTJOIN("",TRUE,CHAR(RANDBETWEEN(65,90+0*_xlfn.SEQUENCE(15))))</f>
        <v>FQAYKIHQGZMKGXG</v>
      </c>
      <c r="P21" s="16">
        <v>1</v>
      </c>
      <c r="Q21" s="2" t="s">
        <v>29</v>
      </c>
      <c r="R21" s="2" t="s">
        <v>30</v>
      </c>
      <c r="S21">
        <v>1</v>
      </c>
      <c r="T21">
        <v>1</v>
      </c>
      <c r="U21">
        <v>1</v>
      </c>
      <c r="V21">
        <v>1</v>
      </c>
      <c r="W21" t="s">
        <v>31</v>
      </c>
      <c r="X21" t="s">
        <v>31</v>
      </c>
      <c r="Y21" t="s">
        <v>31</v>
      </c>
      <c r="Z21" t="s">
        <v>31</v>
      </c>
      <c r="AA21" t="s">
        <v>31</v>
      </c>
    </row>
    <row r="22" ht="15.6" spans="1:27">
      <c r="A22" s="8">
        <v>21</v>
      </c>
      <c r="B22" s="8" t="s">
        <v>54</v>
      </c>
      <c r="C22" s="9">
        <v>1</v>
      </c>
      <c r="D22" s="9">
        <v>1</v>
      </c>
      <c r="E22" s="8" t="str" cm="1">
        <f ca="1" t="array" ref="E22">_xlfn.TEXTJOIN("",TRUE,CHAR(RANDBETWEEN(65,90+0*_xlfn.SEQUENCE(15))))</f>
        <v>VPDOLHHVXYTROHD</v>
      </c>
      <c r="F22" s="8">
        <f t="shared" si="0"/>
        <v>2</v>
      </c>
      <c r="G22" s="8">
        <v>154</v>
      </c>
      <c r="H22" s="10">
        <v>0</v>
      </c>
      <c r="I22" s="8" t="s">
        <v>28</v>
      </c>
      <c r="J22" s="13">
        <v>13</v>
      </c>
      <c r="K22" s="10">
        <v>0</v>
      </c>
      <c r="L22" s="10">
        <v>10</v>
      </c>
      <c r="M22" s="10">
        <v>1</v>
      </c>
      <c r="N22" s="14">
        <v>10000194</v>
      </c>
      <c r="O22" s="15" t="str" cm="1">
        <f ca="1" t="array" ref="O22">_xlfn.TEXTJOIN("",TRUE,CHAR(RANDBETWEEN(65,90+0*_xlfn.SEQUENCE(15))))</f>
        <v>FVNMVLTNGZJCTSM</v>
      </c>
      <c r="P22" s="16">
        <v>1</v>
      </c>
      <c r="Q22" s="2" t="s">
        <v>29</v>
      </c>
      <c r="R22" s="2" t="s">
        <v>30</v>
      </c>
      <c r="S22">
        <v>1</v>
      </c>
      <c r="T22">
        <v>1</v>
      </c>
      <c r="U22">
        <v>1</v>
      </c>
      <c r="V22">
        <v>1</v>
      </c>
      <c r="W22" t="s">
        <v>31</v>
      </c>
      <c r="X22" t="s">
        <v>31</v>
      </c>
      <c r="Y22" t="s">
        <v>31</v>
      </c>
      <c r="Z22" t="s">
        <v>31</v>
      </c>
      <c r="AA22" t="s">
        <v>31</v>
      </c>
    </row>
    <row r="23" ht="15.6" spans="1:27">
      <c r="A23" s="8">
        <v>22</v>
      </c>
      <c r="B23" s="8" t="s">
        <v>55</v>
      </c>
      <c r="C23" s="9">
        <v>1</v>
      </c>
      <c r="D23" s="9">
        <v>1</v>
      </c>
      <c r="E23" s="8" t="str" cm="1">
        <f ca="1" t="array" ref="E23">_xlfn.TEXTJOIN("",TRUE,CHAR(RANDBETWEEN(65,90+0*_xlfn.SEQUENCE(15))))</f>
        <v>FZNKVFSNEJCPIHL</v>
      </c>
      <c r="F23" s="8">
        <f t="shared" si="0"/>
        <v>2</v>
      </c>
      <c r="G23" s="8">
        <v>154</v>
      </c>
      <c r="H23" s="10">
        <v>0</v>
      </c>
      <c r="I23" s="8" t="s">
        <v>28</v>
      </c>
      <c r="J23" s="13">
        <v>50</v>
      </c>
      <c r="K23" s="10">
        <v>0</v>
      </c>
      <c r="L23" s="10">
        <v>5</v>
      </c>
      <c r="M23" s="10">
        <v>1</v>
      </c>
      <c r="N23" s="14">
        <v>10000200</v>
      </c>
      <c r="O23" s="15" t="str" cm="1">
        <f ca="1" t="array" ref="O23">_xlfn.TEXTJOIN("",TRUE,CHAR(RANDBETWEEN(65,90+0*_xlfn.SEQUENCE(15))))</f>
        <v>TTVTIUVIFEKVOYX</v>
      </c>
      <c r="P23" s="16">
        <v>1</v>
      </c>
      <c r="Q23" s="2" t="s">
        <v>29</v>
      </c>
      <c r="R23" s="2" t="s">
        <v>30</v>
      </c>
      <c r="S23" s="8">
        <v>1</v>
      </c>
      <c r="T23" s="8">
        <v>1</v>
      </c>
      <c r="U23" s="8">
        <v>1</v>
      </c>
      <c r="V23" s="8">
        <v>1</v>
      </c>
      <c r="W23" t="s">
        <v>31</v>
      </c>
      <c r="X23" t="s">
        <v>31</v>
      </c>
      <c r="Y23" t="s">
        <v>31</v>
      </c>
      <c r="Z23" t="s">
        <v>31</v>
      </c>
      <c r="AA23" t="s">
        <v>31</v>
      </c>
    </row>
    <row r="24" ht="15.6" spans="1:27">
      <c r="A24" s="8">
        <v>23</v>
      </c>
      <c r="B24" s="8" t="s">
        <v>56</v>
      </c>
      <c r="C24" s="9">
        <v>1</v>
      </c>
      <c r="D24" s="9">
        <v>1</v>
      </c>
      <c r="E24" s="8" t="str" cm="1">
        <f ca="1" t="array" ref="E24">_xlfn.TEXTJOIN("",TRUE,CHAR(RANDBETWEEN(65,90+0*_xlfn.SEQUENCE(15))))</f>
        <v>QURHAQUUTOCRZYM</v>
      </c>
      <c r="F24" s="8">
        <f t="shared" si="0"/>
        <v>2</v>
      </c>
      <c r="G24" s="8">
        <v>154</v>
      </c>
      <c r="H24" s="10">
        <v>0</v>
      </c>
      <c r="I24" s="8" t="s">
        <v>28</v>
      </c>
      <c r="J24" s="13">
        <v>28</v>
      </c>
      <c r="K24" s="10">
        <v>0</v>
      </c>
      <c r="L24" s="10">
        <v>5</v>
      </c>
      <c r="M24" s="10">
        <v>1</v>
      </c>
      <c r="N24" s="14">
        <v>40021628</v>
      </c>
      <c r="O24" s="15" t="str" cm="1">
        <f ca="1" t="array" ref="O24">_xlfn.TEXTJOIN("",TRUE,CHAR(RANDBETWEEN(65,90+0*_xlfn.SEQUENCE(15))))</f>
        <v>UPMCBFCMTSIYZHH</v>
      </c>
      <c r="P24" s="16">
        <v>1</v>
      </c>
      <c r="Q24" s="2" t="s">
        <v>29</v>
      </c>
      <c r="R24" s="2" t="s">
        <v>30</v>
      </c>
      <c r="S24">
        <v>1</v>
      </c>
      <c r="T24">
        <v>1</v>
      </c>
      <c r="U24">
        <v>1</v>
      </c>
      <c r="V24">
        <v>1</v>
      </c>
      <c r="W24" t="s">
        <v>31</v>
      </c>
      <c r="X24" t="s">
        <v>31</v>
      </c>
      <c r="Y24" t="s">
        <v>31</v>
      </c>
      <c r="Z24" t="s">
        <v>31</v>
      </c>
      <c r="AA24" t="s">
        <v>31</v>
      </c>
    </row>
    <row r="25" ht="15.6" spans="1:28">
      <c r="A25" s="7">
        <v>24</v>
      </c>
      <c r="B25" s="8" t="s">
        <v>57</v>
      </c>
      <c r="C25" s="9">
        <v>1</v>
      </c>
      <c r="D25" s="9">
        <v>1</v>
      </c>
      <c r="E25" s="8" t="str" cm="1">
        <f ca="1" t="array" ref="E25">_xlfn.TEXTJOIN("",TRUE,CHAR(RANDBETWEEN(65,90+0*_xlfn.SEQUENCE(15))))</f>
        <v>UQMMSKGKGHDMOBV</v>
      </c>
      <c r="F25" s="8">
        <f t="shared" si="0"/>
        <v>2</v>
      </c>
      <c r="G25" s="8">
        <v>154</v>
      </c>
      <c r="H25" s="10">
        <v>0</v>
      </c>
      <c r="I25" s="8" t="s">
        <v>33</v>
      </c>
      <c r="J25" s="13">
        <v>27</v>
      </c>
      <c r="K25" s="10">
        <v>0</v>
      </c>
      <c r="L25" s="10">
        <v>5</v>
      </c>
      <c r="M25" s="10">
        <v>1</v>
      </c>
      <c r="N25" s="14">
        <v>10000148</v>
      </c>
      <c r="O25" s="15" t="str" cm="1">
        <f ca="1" t="array" ref="O25">_xlfn.TEXTJOIN("",TRUE,CHAR(RANDBETWEEN(65,90+0*_xlfn.SEQUENCE(15))))</f>
        <v>CWWGKIANJEHKBYL</v>
      </c>
      <c r="P25" s="16">
        <v>1</v>
      </c>
      <c r="Q25" s="2" t="s">
        <v>29</v>
      </c>
      <c r="R25" s="2" t="s">
        <v>30</v>
      </c>
      <c r="S25">
        <v>1</v>
      </c>
      <c r="T25">
        <v>1</v>
      </c>
      <c r="U25">
        <v>1</v>
      </c>
      <c r="V25">
        <v>1</v>
      </c>
      <c r="W25" t="s">
        <v>31</v>
      </c>
      <c r="X25" t="s">
        <v>31</v>
      </c>
      <c r="Y25" t="s">
        <v>31</v>
      </c>
      <c r="Z25" t="s">
        <v>31</v>
      </c>
      <c r="AA25" t="s">
        <v>31</v>
      </c>
      <c r="AB25" s="8"/>
    </row>
    <row r="26" ht="15.6" spans="1:27">
      <c r="A26" s="7">
        <v>25</v>
      </c>
      <c r="B26" s="8" t="s">
        <v>58</v>
      </c>
      <c r="C26" s="9">
        <v>1</v>
      </c>
      <c r="D26" s="9">
        <v>1</v>
      </c>
      <c r="E26" s="8" t="str" cm="1">
        <f ca="1" t="array" ref="E26">_xlfn.TEXTJOIN("",TRUE,CHAR(RANDBETWEEN(65,90+0*_xlfn.SEQUENCE(15))))</f>
        <v>BYKXBIZFLGKKUCH</v>
      </c>
      <c r="F26" s="8">
        <f t="shared" si="0"/>
        <v>2</v>
      </c>
      <c r="G26" s="8">
        <v>154</v>
      </c>
      <c r="H26" s="10">
        <v>0</v>
      </c>
      <c r="I26" s="8" t="s">
        <v>28</v>
      </c>
      <c r="J26" s="13">
        <v>15</v>
      </c>
      <c r="K26" s="10">
        <v>0</v>
      </c>
      <c r="L26" s="10">
        <v>5</v>
      </c>
      <c r="M26" s="10">
        <v>1</v>
      </c>
      <c r="N26" s="14">
        <v>10000159</v>
      </c>
      <c r="O26" s="15" t="str" cm="1">
        <f ca="1" t="array" ref="O26">_xlfn.TEXTJOIN("",TRUE,CHAR(RANDBETWEEN(65,90+0*_xlfn.SEQUENCE(15))))</f>
        <v>DNYDCFNPVNQGTIG</v>
      </c>
      <c r="P26" s="16">
        <v>1</v>
      </c>
      <c r="Q26" s="2" t="s">
        <v>29</v>
      </c>
      <c r="R26" s="2" t="s">
        <v>30</v>
      </c>
      <c r="S26">
        <v>1</v>
      </c>
      <c r="T26">
        <v>1</v>
      </c>
      <c r="U26">
        <v>1</v>
      </c>
      <c r="V26">
        <v>1</v>
      </c>
      <c r="W26" t="s">
        <v>31</v>
      </c>
      <c r="X26" t="s">
        <v>31</v>
      </c>
      <c r="Y26" t="s">
        <v>31</v>
      </c>
      <c r="Z26" t="s">
        <v>31</v>
      </c>
      <c r="AA26" t="s">
        <v>31</v>
      </c>
    </row>
    <row r="27" ht="15.6" spans="1:27">
      <c r="A27">
        <v>26</v>
      </c>
      <c r="B27" s="8" t="s">
        <v>59</v>
      </c>
      <c r="C27" s="9">
        <v>1</v>
      </c>
      <c r="D27" s="9">
        <v>1</v>
      </c>
      <c r="E27" s="8" t="str" cm="1">
        <f ca="1" t="array" ref="E27">_xlfn.TEXTJOIN("",TRUE,CHAR(RANDBETWEEN(65,90+0*_xlfn.SEQUENCE(15))))</f>
        <v>SLCBIIBNOQRBHEU</v>
      </c>
      <c r="F27" s="8">
        <f t="shared" si="0"/>
        <v>2</v>
      </c>
      <c r="G27" s="8">
        <v>154</v>
      </c>
      <c r="H27" s="10">
        <v>0</v>
      </c>
      <c r="I27" s="8" t="s">
        <v>33</v>
      </c>
      <c r="J27" s="13">
        <v>30</v>
      </c>
      <c r="K27" s="10">
        <v>1</v>
      </c>
      <c r="L27" s="10">
        <v>20</v>
      </c>
      <c r="M27" s="10">
        <v>1</v>
      </c>
      <c r="N27" s="14">
        <v>10000148</v>
      </c>
      <c r="O27" s="15" t="str" cm="1">
        <f ca="1" t="array" ref="O27">_xlfn.TEXTJOIN("",TRUE,CHAR(RANDBETWEEN(65,90+0*_xlfn.SEQUENCE(15))))</f>
        <v>QEKPKJUFAAAQPKK</v>
      </c>
      <c r="P27" s="16">
        <v>1</v>
      </c>
      <c r="Q27" s="2" t="s">
        <v>29</v>
      </c>
      <c r="R27" s="2" t="s">
        <v>30</v>
      </c>
      <c r="S27">
        <v>1</v>
      </c>
      <c r="T27">
        <v>1</v>
      </c>
      <c r="U27">
        <v>1</v>
      </c>
      <c r="V27">
        <v>1</v>
      </c>
      <c r="W27" t="s">
        <v>31</v>
      </c>
      <c r="X27" t="s">
        <v>31</v>
      </c>
      <c r="Y27" t="s">
        <v>31</v>
      </c>
      <c r="Z27" t="s">
        <v>31</v>
      </c>
      <c r="AA27" t="s">
        <v>31</v>
      </c>
    </row>
    <row r="28" ht="15.6" spans="1:27">
      <c r="A28">
        <v>27</v>
      </c>
      <c r="B28" s="8" t="s">
        <v>60</v>
      </c>
      <c r="C28" s="9">
        <v>1</v>
      </c>
      <c r="D28" s="9">
        <v>1</v>
      </c>
      <c r="E28" s="8" t="str" cm="1">
        <f ca="1" t="array" ref="E28">_xlfn.TEXTJOIN("",TRUE,CHAR(RANDBETWEEN(65,90+0*_xlfn.SEQUENCE(15))))</f>
        <v>JJKFTCHBBUISDPZ</v>
      </c>
      <c r="F28" s="8">
        <f t="shared" si="0"/>
        <v>2</v>
      </c>
      <c r="G28" s="8">
        <v>154</v>
      </c>
      <c r="H28" s="10">
        <v>0</v>
      </c>
      <c r="I28" s="8" t="s">
        <v>33</v>
      </c>
      <c r="J28" s="13">
        <v>40</v>
      </c>
      <c r="K28" s="10">
        <v>1</v>
      </c>
      <c r="L28" s="10">
        <v>10</v>
      </c>
      <c r="M28" s="10">
        <v>1</v>
      </c>
      <c r="N28" s="14">
        <v>10000159</v>
      </c>
      <c r="O28" s="15" t="str" cm="1">
        <f ca="1" t="array" ref="O28">_xlfn.TEXTJOIN("",TRUE,CHAR(RANDBETWEEN(65,90+0*_xlfn.SEQUENCE(15))))</f>
        <v>GNOMZHUZNOCLKMU</v>
      </c>
      <c r="P28" s="16">
        <v>1</v>
      </c>
      <c r="Q28" s="2" t="s">
        <v>29</v>
      </c>
      <c r="R28" s="2" t="s">
        <v>30</v>
      </c>
      <c r="S28">
        <v>1</v>
      </c>
      <c r="T28">
        <v>1</v>
      </c>
      <c r="U28">
        <v>1</v>
      </c>
      <c r="V28">
        <v>1</v>
      </c>
      <c r="W28" t="s">
        <v>31</v>
      </c>
      <c r="X28" t="s">
        <v>31</v>
      </c>
      <c r="Y28" t="s">
        <v>31</v>
      </c>
      <c r="Z28" t="s">
        <v>31</v>
      </c>
      <c r="AA28" t="s">
        <v>31</v>
      </c>
    </row>
    <row r="29" ht="15.6" spans="1:27">
      <c r="A29">
        <v>28</v>
      </c>
      <c r="B29" s="8" t="s">
        <v>61</v>
      </c>
      <c r="C29" s="9">
        <v>1</v>
      </c>
      <c r="D29" s="9">
        <v>1</v>
      </c>
      <c r="E29" s="8" t="str" cm="1">
        <f ca="1" t="array" ref="E29">_xlfn.TEXTJOIN("",TRUE,CHAR(RANDBETWEEN(65,90+0*_xlfn.SEQUENCE(15))))</f>
        <v>YOZPRCWYLAMQRXS</v>
      </c>
      <c r="F29" s="8">
        <f t="shared" si="0"/>
        <v>2</v>
      </c>
      <c r="G29" s="8">
        <v>157</v>
      </c>
      <c r="H29" s="10">
        <v>0</v>
      </c>
      <c r="I29" s="8" t="s">
        <v>28</v>
      </c>
      <c r="J29" s="13">
        <v>23</v>
      </c>
      <c r="K29" s="10">
        <v>1</v>
      </c>
      <c r="L29" s="10">
        <v>10</v>
      </c>
      <c r="M29" s="10">
        <v>1</v>
      </c>
      <c r="N29" s="14">
        <v>10000194</v>
      </c>
      <c r="O29" s="15" t="str" cm="1">
        <f ca="1" t="array" ref="O29">_xlfn.TEXTJOIN("",TRUE,CHAR(RANDBETWEEN(65,90+0*_xlfn.SEQUENCE(15))))</f>
        <v>FTDEGBBHBPFOFQQ</v>
      </c>
      <c r="P29" s="16">
        <v>1</v>
      </c>
      <c r="Q29" s="2" t="s">
        <v>29</v>
      </c>
      <c r="R29" s="2" t="s">
        <v>30</v>
      </c>
      <c r="S29">
        <v>1</v>
      </c>
      <c r="T29">
        <v>1</v>
      </c>
      <c r="U29">
        <v>1</v>
      </c>
      <c r="V29">
        <v>1</v>
      </c>
      <c r="W29" t="s">
        <v>31</v>
      </c>
      <c r="X29" t="s">
        <v>31</v>
      </c>
      <c r="Y29" t="s">
        <v>31</v>
      </c>
      <c r="Z29" t="s">
        <v>31</v>
      </c>
      <c r="AA29" t="s">
        <v>31</v>
      </c>
    </row>
    <row r="30" ht="15.6" spans="1:27">
      <c r="A30">
        <v>29</v>
      </c>
      <c r="B30" s="8" t="s">
        <v>62</v>
      </c>
      <c r="C30" s="9">
        <v>1</v>
      </c>
      <c r="D30" s="9">
        <v>1</v>
      </c>
      <c r="E30" s="8" t="str" cm="1">
        <f ca="1" t="array" ref="E30">_xlfn.TEXTJOIN("",TRUE,CHAR(RANDBETWEEN(65,90+0*_xlfn.SEQUENCE(15))))</f>
        <v>ABBXTACOPDILQID</v>
      </c>
      <c r="F30" s="8">
        <f t="shared" si="0"/>
        <v>2</v>
      </c>
      <c r="G30" s="8">
        <v>157</v>
      </c>
      <c r="H30" s="10">
        <v>0</v>
      </c>
      <c r="I30" s="8" t="s">
        <v>33</v>
      </c>
      <c r="J30" s="13">
        <v>23</v>
      </c>
      <c r="K30" s="10">
        <v>1</v>
      </c>
      <c r="L30" s="10">
        <v>10</v>
      </c>
      <c r="M30" s="10">
        <v>1</v>
      </c>
      <c r="N30" s="14">
        <v>10000194</v>
      </c>
      <c r="O30" s="15" t="str" cm="1">
        <f ca="1" t="array" ref="O30">_xlfn.TEXTJOIN("",TRUE,CHAR(RANDBETWEEN(65,90+0*_xlfn.SEQUENCE(15))))</f>
        <v>UGZIVQCNTRWWUYP</v>
      </c>
      <c r="P30" s="16">
        <v>1</v>
      </c>
      <c r="Q30" s="2" t="s">
        <v>29</v>
      </c>
      <c r="R30" s="2" t="s">
        <v>30</v>
      </c>
      <c r="S30">
        <v>1</v>
      </c>
      <c r="T30">
        <v>1</v>
      </c>
      <c r="U30">
        <v>1</v>
      </c>
      <c r="V30">
        <v>1</v>
      </c>
      <c r="W30" t="s">
        <v>31</v>
      </c>
      <c r="X30" t="s">
        <v>31</v>
      </c>
      <c r="Y30" t="s">
        <v>31</v>
      </c>
      <c r="Z30" t="s">
        <v>31</v>
      </c>
      <c r="AA30" t="s">
        <v>31</v>
      </c>
    </row>
    <row r="31" ht="15.6" spans="1:27">
      <c r="A31">
        <v>30</v>
      </c>
      <c r="B31" s="8" t="s">
        <v>63</v>
      </c>
      <c r="C31" s="9">
        <v>1</v>
      </c>
      <c r="D31" s="9">
        <v>1</v>
      </c>
      <c r="E31" s="8" t="str" cm="1">
        <f ca="1" t="array" ref="E31">_xlfn.TEXTJOIN("",TRUE,CHAR(RANDBETWEEN(65,90+0*_xlfn.SEQUENCE(15))))</f>
        <v>RKJOVMOOOUYWZRF</v>
      </c>
      <c r="F31" s="8">
        <f t="shared" si="0"/>
        <v>2</v>
      </c>
      <c r="G31" s="8">
        <v>157</v>
      </c>
      <c r="H31" s="10">
        <v>0</v>
      </c>
      <c r="I31" s="8" t="s">
        <v>28</v>
      </c>
      <c r="J31" s="13">
        <v>15</v>
      </c>
      <c r="K31" s="10">
        <v>1</v>
      </c>
      <c r="L31" s="10">
        <v>10</v>
      </c>
      <c r="M31" s="10">
        <v>1</v>
      </c>
      <c r="N31" s="14">
        <v>10000148</v>
      </c>
      <c r="O31" s="15" t="str" cm="1">
        <f ca="1" t="array" ref="O31">_xlfn.TEXTJOIN("",TRUE,CHAR(RANDBETWEEN(65,90+0*_xlfn.SEQUENCE(15))))</f>
        <v>XXNDRXAPLWKGSWO</v>
      </c>
      <c r="P31" s="16">
        <v>1</v>
      </c>
      <c r="Q31" s="2" t="s">
        <v>29</v>
      </c>
      <c r="R31" s="2" t="s">
        <v>30</v>
      </c>
      <c r="S31">
        <v>1</v>
      </c>
      <c r="T31">
        <v>1</v>
      </c>
      <c r="U31">
        <v>1</v>
      </c>
      <c r="V31">
        <v>1</v>
      </c>
      <c r="W31" t="s">
        <v>31</v>
      </c>
      <c r="X31" t="s">
        <v>31</v>
      </c>
      <c r="Y31" t="s">
        <v>31</v>
      </c>
      <c r="Z31" t="s">
        <v>31</v>
      </c>
      <c r="AA31" t="s">
        <v>31</v>
      </c>
    </row>
    <row r="32" ht="15.6" spans="1:27">
      <c r="A32">
        <v>31</v>
      </c>
      <c r="B32" s="8" t="s">
        <v>64</v>
      </c>
      <c r="C32" s="9">
        <v>1</v>
      </c>
      <c r="D32" s="9">
        <v>1</v>
      </c>
      <c r="E32" s="8" t="str" cm="1">
        <f ca="1" t="array" ref="E32">_xlfn.TEXTJOIN("",TRUE,CHAR(RANDBETWEEN(65,90+0*_xlfn.SEQUENCE(15))))</f>
        <v>DLJGYTOFEOFPIWE</v>
      </c>
      <c r="F32" s="8">
        <f t="shared" si="0"/>
        <v>2</v>
      </c>
      <c r="G32" s="8">
        <f t="shared" ref="G32:G38" si="2">156</f>
        <v>156</v>
      </c>
      <c r="H32" s="10">
        <v>0</v>
      </c>
      <c r="I32" s="8" t="s">
        <v>28</v>
      </c>
      <c r="J32" s="13">
        <v>23</v>
      </c>
      <c r="K32" s="10">
        <v>0</v>
      </c>
      <c r="L32" s="10">
        <v>10</v>
      </c>
      <c r="M32" s="10">
        <v>1</v>
      </c>
      <c r="N32" s="14">
        <v>10000159</v>
      </c>
      <c r="O32" s="15" t="str" cm="1">
        <f ca="1" t="array" ref="O32">_xlfn.TEXTJOIN("",TRUE,CHAR(RANDBETWEEN(65,90+0*_xlfn.SEQUENCE(15))))</f>
        <v>VOQCVPXKPQMSNEX</v>
      </c>
      <c r="P32" s="16">
        <v>1</v>
      </c>
      <c r="Q32" s="2" t="s">
        <v>29</v>
      </c>
      <c r="R32" s="2" t="s">
        <v>30</v>
      </c>
      <c r="S32">
        <v>1</v>
      </c>
      <c r="T32">
        <v>1</v>
      </c>
      <c r="U32">
        <v>1</v>
      </c>
      <c r="V32">
        <v>1</v>
      </c>
      <c r="W32" t="s">
        <v>31</v>
      </c>
      <c r="X32" t="s">
        <v>31</v>
      </c>
      <c r="Y32" t="s">
        <v>31</v>
      </c>
      <c r="Z32" t="s">
        <v>31</v>
      </c>
      <c r="AA32" t="s">
        <v>31</v>
      </c>
    </row>
    <row r="33" ht="15.6" spans="1:27">
      <c r="A33">
        <v>32</v>
      </c>
      <c r="B33" s="8" t="s">
        <v>65</v>
      </c>
      <c r="C33" s="9">
        <v>1</v>
      </c>
      <c r="D33" s="9">
        <v>1</v>
      </c>
      <c r="E33" s="8" t="str" cm="1">
        <f ca="1" t="array" ref="E33">_xlfn.TEXTJOIN("",TRUE,CHAR(RANDBETWEEN(65,90+0*_xlfn.SEQUENCE(15))))</f>
        <v>YQHIDBEWVKTTQRK</v>
      </c>
      <c r="F33" s="8">
        <f t="shared" si="0"/>
        <v>2</v>
      </c>
      <c r="G33" s="8">
        <f t="shared" si="2"/>
        <v>156</v>
      </c>
      <c r="H33" s="10">
        <v>0</v>
      </c>
      <c r="I33" s="8" t="s">
        <v>33</v>
      </c>
      <c r="J33" s="13">
        <v>23</v>
      </c>
      <c r="K33" s="10">
        <v>0</v>
      </c>
      <c r="L33" s="10">
        <v>10</v>
      </c>
      <c r="M33" s="10">
        <v>1</v>
      </c>
      <c r="N33" s="14">
        <v>10000194</v>
      </c>
      <c r="O33" s="15" t="str" cm="1">
        <f ca="1" t="array" ref="O33">_xlfn.TEXTJOIN("",TRUE,CHAR(RANDBETWEEN(65,90+0*_xlfn.SEQUENCE(15))))</f>
        <v>SKEAXYPJLCJYIEU</v>
      </c>
      <c r="P33" s="16">
        <v>1</v>
      </c>
      <c r="Q33" s="2" t="s">
        <v>29</v>
      </c>
      <c r="R33" s="2" t="s">
        <v>30</v>
      </c>
      <c r="S33">
        <v>1</v>
      </c>
      <c r="T33">
        <v>1</v>
      </c>
      <c r="U33">
        <v>1</v>
      </c>
      <c r="V33">
        <v>1</v>
      </c>
      <c r="W33" t="s">
        <v>31</v>
      </c>
      <c r="X33" t="s">
        <v>31</v>
      </c>
      <c r="Y33" t="s">
        <v>31</v>
      </c>
      <c r="Z33" t="s">
        <v>31</v>
      </c>
      <c r="AA33" t="s">
        <v>31</v>
      </c>
    </row>
    <row r="34" ht="15.6" spans="1:27">
      <c r="A34">
        <v>33</v>
      </c>
      <c r="B34" s="8" t="s">
        <v>66</v>
      </c>
      <c r="C34" s="9">
        <v>1</v>
      </c>
      <c r="D34" s="9">
        <v>1</v>
      </c>
      <c r="E34" s="8" t="str" cm="1">
        <f ca="1" t="array" ref="E34">_xlfn.TEXTJOIN("",TRUE,CHAR(RANDBETWEEN(65,90+0*_xlfn.SEQUENCE(15))))</f>
        <v>PXKHEGNMUYODUZP</v>
      </c>
      <c r="F34" s="8">
        <f t="shared" si="0"/>
        <v>2</v>
      </c>
      <c r="G34" s="8">
        <f t="shared" si="2"/>
        <v>156</v>
      </c>
      <c r="H34" s="10">
        <v>0</v>
      </c>
      <c r="I34" s="8" t="s">
        <v>28</v>
      </c>
      <c r="J34" s="13">
        <v>15</v>
      </c>
      <c r="K34" s="10">
        <v>0</v>
      </c>
      <c r="L34" s="10">
        <v>5</v>
      </c>
      <c r="M34" s="10">
        <v>1</v>
      </c>
      <c r="N34" s="14">
        <v>10000200</v>
      </c>
      <c r="O34" s="15" t="str" cm="1">
        <f ca="1" t="array" ref="O34">_xlfn.TEXTJOIN("",TRUE,CHAR(RANDBETWEEN(65,90+0*_xlfn.SEQUENCE(15))))</f>
        <v>IPUTWRNVMGGDPPF</v>
      </c>
      <c r="P34" s="16">
        <v>1</v>
      </c>
      <c r="Q34" s="2" t="s">
        <v>29</v>
      </c>
      <c r="R34" s="2" t="s">
        <v>30</v>
      </c>
      <c r="S34" s="8">
        <v>1</v>
      </c>
      <c r="T34" s="8">
        <v>1</v>
      </c>
      <c r="U34" s="8">
        <v>1</v>
      </c>
      <c r="V34" s="8">
        <v>1</v>
      </c>
      <c r="W34" t="s">
        <v>31</v>
      </c>
      <c r="X34" t="s">
        <v>31</v>
      </c>
      <c r="Y34" t="s">
        <v>31</v>
      </c>
      <c r="Z34" t="s">
        <v>31</v>
      </c>
      <c r="AA34" t="s">
        <v>31</v>
      </c>
    </row>
    <row r="35" ht="15.6" spans="1:27">
      <c r="A35">
        <v>34</v>
      </c>
      <c r="B35" s="8" t="s">
        <v>67</v>
      </c>
      <c r="C35" s="9">
        <v>1</v>
      </c>
      <c r="D35" s="9">
        <v>1</v>
      </c>
      <c r="E35" s="8" t="str" cm="1">
        <f ca="1" t="array" ref="E35">_xlfn.TEXTJOIN("",TRUE,CHAR(RANDBETWEEN(65,90+0*_xlfn.SEQUENCE(15))))</f>
        <v>LEIFSEAHLYECKRG</v>
      </c>
      <c r="F35" s="8">
        <f t="shared" si="0"/>
        <v>2</v>
      </c>
      <c r="G35" s="8">
        <f t="shared" si="2"/>
        <v>156</v>
      </c>
      <c r="H35" s="10">
        <v>0</v>
      </c>
      <c r="I35" s="8" t="s">
        <v>28</v>
      </c>
      <c r="J35" s="13">
        <v>20</v>
      </c>
      <c r="K35" s="10">
        <v>0</v>
      </c>
      <c r="L35" s="10">
        <v>5</v>
      </c>
      <c r="M35" s="10">
        <v>1</v>
      </c>
      <c r="N35" s="14">
        <v>40021628</v>
      </c>
      <c r="O35" s="15" t="str" cm="1">
        <f ca="1" t="array" ref="O35">_xlfn.TEXTJOIN("",TRUE,CHAR(RANDBETWEEN(65,90+0*_xlfn.SEQUENCE(15))))</f>
        <v>EKAXXCRREMUDUSC</v>
      </c>
      <c r="P35" s="16">
        <v>1</v>
      </c>
      <c r="Q35" s="2" t="s">
        <v>29</v>
      </c>
      <c r="R35" s="2" t="s">
        <v>30</v>
      </c>
      <c r="S35">
        <v>1</v>
      </c>
      <c r="T35">
        <v>1</v>
      </c>
      <c r="U35">
        <v>1</v>
      </c>
      <c r="V35">
        <v>1</v>
      </c>
      <c r="W35" t="s">
        <v>31</v>
      </c>
      <c r="X35" t="s">
        <v>31</v>
      </c>
      <c r="Y35" t="s">
        <v>31</v>
      </c>
      <c r="Z35" t="s">
        <v>31</v>
      </c>
      <c r="AA35" t="s">
        <v>31</v>
      </c>
    </row>
    <row r="36" ht="15.6" spans="1:27">
      <c r="A36">
        <v>35</v>
      </c>
      <c r="B36" s="8" t="s">
        <v>68</v>
      </c>
      <c r="C36" s="9">
        <v>1</v>
      </c>
      <c r="D36" s="9">
        <v>1</v>
      </c>
      <c r="E36" s="8" t="str" cm="1">
        <f ca="1" t="array" ref="E36">_xlfn.TEXTJOIN("",TRUE,CHAR(RANDBETWEEN(65,90+0*_xlfn.SEQUENCE(15))))</f>
        <v>RKMBCFQLAVCHXNS</v>
      </c>
      <c r="F36" s="8">
        <f t="shared" si="0"/>
        <v>2</v>
      </c>
      <c r="G36" s="8">
        <f t="shared" si="2"/>
        <v>156</v>
      </c>
      <c r="H36" s="10">
        <v>0</v>
      </c>
      <c r="I36" s="8" t="s">
        <v>28</v>
      </c>
      <c r="J36" s="13">
        <v>23</v>
      </c>
      <c r="K36" s="10">
        <v>0</v>
      </c>
      <c r="L36" s="10">
        <v>5</v>
      </c>
      <c r="M36" s="10">
        <v>1</v>
      </c>
      <c r="N36" s="14">
        <v>10000148</v>
      </c>
      <c r="O36" s="15" t="str" cm="1">
        <f ca="1" t="array" ref="O36">_xlfn.TEXTJOIN("",TRUE,CHAR(RANDBETWEEN(65,90+0*_xlfn.SEQUENCE(15))))</f>
        <v>EQXCORSQDEOSPTS</v>
      </c>
      <c r="P36" s="16">
        <v>1</v>
      </c>
      <c r="Q36" s="2" t="s">
        <v>29</v>
      </c>
      <c r="R36" s="2" t="s">
        <v>30</v>
      </c>
      <c r="S36">
        <v>1</v>
      </c>
      <c r="T36">
        <v>1</v>
      </c>
      <c r="U36">
        <v>1</v>
      </c>
      <c r="V36">
        <v>1</v>
      </c>
      <c r="W36" t="s">
        <v>31</v>
      </c>
      <c r="X36" t="s">
        <v>31</v>
      </c>
      <c r="Y36" t="s">
        <v>31</v>
      </c>
      <c r="Z36" t="s">
        <v>31</v>
      </c>
      <c r="AA36" t="s">
        <v>31</v>
      </c>
    </row>
    <row r="37" ht="15.6" spans="1:27">
      <c r="A37">
        <v>36</v>
      </c>
      <c r="B37" s="8" t="s">
        <v>69</v>
      </c>
      <c r="C37" s="9">
        <v>1</v>
      </c>
      <c r="D37" s="9">
        <v>1</v>
      </c>
      <c r="E37" s="8" t="str" cm="1">
        <f ca="1" t="array" ref="E37">_xlfn.TEXTJOIN("",TRUE,CHAR(RANDBETWEEN(65,90+0*_xlfn.SEQUENCE(15))))</f>
        <v>GLZOLKTZEFKWBGV</v>
      </c>
      <c r="F37" s="8">
        <f t="shared" si="0"/>
        <v>2</v>
      </c>
      <c r="G37" s="8">
        <f t="shared" si="2"/>
        <v>156</v>
      </c>
      <c r="H37" s="10">
        <v>0</v>
      </c>
      <c r="I37" s="8" t="s">
        <v>47</v>
      </c>
      <c r="J37" s="13">
        <v>40</v>
      </c>
      <c r="K37" s="10">
        <v>0</v>
      </c>
      <c r="L37" s="10">
        <v>5</v>
      </c>
      <c r="M37" s="10">
        <v>1</v>
      </c>
      <c r="N37" s="14">
        <v>10000159</v>
      </c>
      <c r="O37" s="15" t="str" cm="1">
        <f ca="1" t="array" ref="O37">_xlfn.TEXTJOIN("",TRUE,CHAR(RANDBETWEEN(65,90+0*_xlfn.SEQUENCE(15))))</f>
        <v>KYGVOKQVGIYPUNP</v>
      </c>
      <c r="P37" s="16">
        <v>1</v>
      </c>
      <c r="Q37" s="2" t="s">
        <v>29</v>
      </c>
      <c r="R37" s="2" t="s">
        <v>30</v>
      </c>
      <c r="S37">
        <v>1</v>
      </c>
      <c r="T37">
        <v>1</v>
      </c>
      <c r="U37">
        <v>1</v>
      </c>
      <c r="V37">
        <v>1</v>
      </c>
      <c r="W37" t="s">
        <v>31</v>
      </c>
      <c r="X37" t="s">
        <v>31</v>
      </c>
      <c r="Y37" t="s">
        <v>31</v>
      </c>
      <c r="Z37" t="s">
        <v>31</v>
      </c>
      <c r="AA37" t="s">
        <v>31</v>
      </c>
    </row>
    <row r="38" ht="15.6" spans="1:27">
      <c r="A38">
        <v>37</v>
      </c>
      <c r="B38" s="8" t="s">
        <v>70</v>
      </c>
      <c r="C38" s="9">
        <v>1</v>
      </c>
      <c r="D38" s="9">
        <v>1</v>
      </c>
      <c r="E38" s="8" t="str" cm="1">
        <f ca="1" t="array" ref="E38">_xlfn.TEXTJOIN("",TRUE,CHAR(RANDBETWEEN(65,90+0*_xlfn.SEQUENCE(15))))</f>
        <v>BONIDFNGSHLEFWV</v>
      </c>
      <c r="F38" s="8">
        <f t="shared" si="0"/>
        <v>2</v>
      </c>
      <c r="G38" s="8">
        <f t="shared" si="2"/>
        <v>156</v>
      </c>
      <c r="H38" s="10">
        <v>0</v>
      </c>
      <c r="I38" s="8" t="s">
        <v>33</v>
      </c>
      <c r="J38" s="13">
        <v>30</v>
      </c>
      <c r="K38" s="10">
        <v>1</v>
      </c>
      <c r="L38" s="10">
        <v>20</v>
      </c>
      <c r="M38" s="10">
        <v>1</v>
      </c>
      <c r="N38" s="14">
        <v>10000148</v>
      </c>
      <c r="O38" s="15" t="str" cm="1">
        <f ca="1" t="array" ref="O38">_xlfn.TEXTJOIN("",TRUE,CHAR(RANDBETWEEN(65,90+0*_xlfn.SEQUENCE(15))))</f>
        <v>VTSBBSKWJPMRMZB</v>
      </c>
      <c r="P38" s="16">
        <v>1</v>
      </c>
      <c r="Q38" s="2" t="s">
        <v>29</v>
      </c>
      <c r="R38" s="2" t="s">
        <v>30</v>
      </c>
      <c r="S38">
        <v>1</v>
      </c>
      <c r="T38">
        <v>1</v>
      </c>
      <c r="U38">
        <v>1</v>
      </c>
      <c r="V38">
        <v>1</v>
      </c>
      <c r="W38" t="s">
        <v>31</v>
      </c>
      <c r="X38" t="s">
        <v>31</v>
      </c>
      <c r="Y38" t="s">
        <v>31</v>
      </c>
      <c r="Z38" t="s">
        <v>31</v>
      </c>
      <c r="AA38" t="s">
        <v>31</v>
      </c>
    </row>
    <row r="39" ht="15.6" spans="1:27">
      <c r="A39">
        <v>38</v>
      </c>
      <c r="B39" s="8" t="s">
        <v>71</v>
      </c>
      <c r="C39" s="9">
        <v>1</v>
      </c>
      <c r="D39" s="9">
        <v>1</v>
      </c>
      <c r="E39" s="8" t="str" cm="1">
        <f ca="1" t="array" ref="E39">_xlfn.TEXTJOIN("",TRUE,CHAR(RANDBETWEEN(65,90+0*_xlfn.SEQUENCE(15))))</f>
        <v>NTKOADQQDBPPYBM</v>
      </c>
      <c r="F39" s="8">
        <f t="shared" si="0"/>
        <v>2</v>
      </c>
      <c r="G39">
        <f t="shared" ref="G39:G51" si="3">158</f>
        <v>158</v>
      </c>
      <c r="H39" s="10">
        <v>0</v>
      </c>
      <c r="I39" s="8" t="s">
        <v>33</v>
      </c>
      <c r="J39" s="13">
        <v>40</v>
      </c>
      <c r="K39" s="10">
        <v>1</v>
      </c>
      <c r="L39" s="10">
        <v>10</v>
      </c>
      <c r="M39" s="10">
        <v>1</v>
      </c>
      <c r="N39" s="14">
        <v>10000159</v>
      </c>
      <c r="O39" s="15" t="str" cm="1">
        <f ca="1" t="array" ref="O39">_xlfn.TEXTJOIN("",TRUE,CHAR(RANDBETWEEN(65,90+0*_xlfn.SEQUENCE(15))))</f>
        <v>OKPWCEJSYJUHZPV</v>
      </c>
      <c r="P39" s="16">
        <v>1</v>
      </c>
      <c r="Q39" s="2" t="s">
        <v>29</v>
      </c>
      <c r="R39" s="2" t="s">
        <v>30</v>
      </c>
      <c r="S39">
        <v>1</v>
      </c>
      <c r="T39">
        <v>1</v>
      </c>
      <c r="U39">
        <v>1</v>
      </c>
      <c r="V39">
        <v>1</v>
      </c>
      <c r="W39" t="s">
        <v>31</v>
      </c>
      <c r="X39" t="s">
        <v>31</v>
      </c>
      <c r="Y39" t="s">
        <v>31</v>
      </c>
      <c r="Z39" t="s">
        <v>31</v>
      </c>
      <c r="AA39" t="s">
        <v>31</v>
      </c>
    </row>
    <row r="40" ht="15.6" spans="1:27">
      <c r="A40">
        <v>39</v>
      </c>
      <c r="B40" s="8" t="s">
        <v>72</v>
      </c>
      <c r="C40" s="9">
        <v>1</v>
      </c>
      <c r="D40" s="9">
        <v>1</v>
      </c>
      <c r="E40" s="8" t="str" cm="1">
        <f ca="1" t="array" ref="E40">_xlfn.TEXTJOIN("",TRUE,CHAR(RANDBETWEEN(65,90+0*_xlfn.SEQUENCE(15))))</f>
        <v>TAKWNFUUNGMXIQX</v>
      </c>
      <c r="F40" s="8">
        <f t="shared" si="0"/>
        <v>2</v>
      </c>
      <c r="G40">
        <f t="shared" si="3"/>
        <v>158</v>
      </c>
      <c r="H40" s="10">
        <v>0</v>
      </c>
      <c r="I40" s="8" t="s">
        <v>28</v>
      </c>
      <c r="J40" s="13">
        <v>12</v>
      </c>
      <c r="K40" s="10">
        <v>1</v>
      </c>
      <c r="L40" s="10">
        <v>10</v>
      </c>
      <c r="M40" s="10">
        <v>1</v>
      </c>
      <c r="N40" s="14">
        <v>10000194</v>
      </c>
      <c r="O40" s="15" t="str" cm="1">
        <f ca="1" t="array" ref="O40">_xlfn.TEXTJOIN("",TRUE,CHAR(RANDBETWEEN(65,90+0*_xlfn.SEQUENCE(15))))</f>
        <v>IDXFBEZQKXVRHQS</v>
      </c>
      <c r="P40" s="16">
        <v>1</v>
      </c>
      <c r="Q40" s="2" t="s">
        <v>29</v>
      </c>
      <c r="R40" s="2" t="s">
        <v>30</v>
      </c>
      <c r="S40">
        <v>1</v>
      </c>
      <c r="T40">
        <v>1</v>
      </c>
      <c r="U40">
        <v>1</v>
      </c>
      <c r="V40">
        <v>1</v>
      </c>
      <c r="W40" t="s">
        <v>31</v>
      </c>
      <c r="X40" t="s">
        <v>31</v>
      </c>
      <c r="Y40" t="s">
        <v>31</v>
      </c>
      <c r="Z40" t="s">
        <v>31</v>
      </c>
      <c r="AA40" t="s">
        <v>31</v>
      </c>
    </row>
    <row r="41" ht="15.6" spans="1:27">
      <c r="A41">
        <v>40</v>
      </c>
      <c r="B41" s="8" t="s">
        <v>73</v>
      </c>
      <c r="C41" s="9">
        <v>1</v>
      </c>
      <c r="D41" s="9">
        <v>1</v>
      </c>
      <c r="E41" s="8" t="str" cm="1">
        <f ca="1" t="array" ref="E41">_xlfn.TEXTJOIN("",TRUE,CHAR(RANDBETWEEN(65,90+0*_xlfn.SEQUENCE(15))))</f>
        <v>RJMYDGCLLWHIJBC</v>
      </c>
      <c r="F41" s="8">
        <f t="shared" si="0"/>
        <v>2</v>
      </c>
      <c r="G41">
        <f t="shared" si="3"/>
        <v>158</v>
      </c>
      <c r="H41" s="10">
        <v>0</v>
      </c>
      <c r="I41" s="8" t="s">
        <v>47</v>
      </c>
      <c r="J41" s="13">
        <v>90</v>
      </c>
      <c r="K41" s="10">
        <v>1</v>
      </c>
      <c r="L41" s="10">
        <v>10</v>
      </c>
      <c r="M41" s="10">
        <v>1</v>
      </c>
      <c r="N41" s="14">
        <v>10000194</v>
      </c>
      <c r="O41" s="15" t="str" cm="1">
        <f ca="1" t="array" ref="O41">_xlfn.TEXTJOIN("",TRUE,CHAR(RANDBETWEEN(65,90+0*_xlfn.SEQUENCE(15))))</f>
        <v>TZBVEDSIEUMNIRH</v>
      </c>
      <c r="P41" s="16">
        <v>1</v>
      </c>
      <c r="Q41" s="2" t="s">
        <v>29</v>
      </c>
      <c r="R41" s="2" t="s">
        <v>30</v>
      </c>
      <c r="S41">
        <v>1</v>
      </c>
      <c r="T41">
        <v>1</v>
      </c>
      <c r="U41">
        <v>1</v>
      </c>
      <c r="V41">
        <v>1</v>
      </c>
      <c r="W41" t="s">
        <v>31</v>
      </c>
      <c r="X41" t="s">
        <v>31</v>
      </c>
      <c r="Y41" t="s">
        <v>31</v>
      </c>
      <c r="Z41" t="s">
        <v>31</v>
      </c>
      <c r="AA41" t="s">
        <v>31</v>
      </c>
    </row>
    <row r="42" ht="15.6" spans="1:27">
      <c r="A42">
        <v>41</v>
      </c>
      <c r="B42" s="8" t="s">
        <v>74</v>
      </c>
      <c r="C42" s="9">
        <v>1</v>
      </c>
      <c r="D42" s="9">
        <v>1</v>
      </c>
      <c r="E42" s="8" t="str" cm="1">
        <f ca="1" t="array" ref="E42">_xlfn.TEXTJOIN("",TRUE,CHAR(RANDBETWEEN(65,90+0*_xlfn.SEQUENCE(15))))</f>
        <v>WBPCRCEFNOCTHXG</v>
      </c>
      <c r="F42" s="8">
        <f t="shared" si="0"/>
        <v>2</v>
      </c>
      <c r="G42">
        <f t="shared" si="3"/>
        <v>158</v>
      </c>
      <c r="H42" s="10">
        <v>0</v>
      </c>
      <c r="I42" s="8" t="s">
        <v>28</v>
      </c>
      <c r="J42" s="13">
        <v>19</v>
      </c>
      <c r="K42" s="10">
        <v>1</v>
      </c>
      <c r="L42" s="10">
        <v>10</v>
      </c>
      <c r="M42" s="10">
        <v>1</v>
      </c>
      <c r="N42" s="14">
        <v>10000148</v>
      </c>
      <c r="O42" s="15" t="str" cm="1">
        <f ca="1" t="array" ref="O42">_xlfn.TEXTJOIN("",TRUE,CHAR(RANDBETWEEN(65,90+0*_xlfn.SEQUENCE(15))))</f>
        <v>BRXTMGZJFCRJIBR</v>
      </c>
      <c r="P42" s="16">
        <v>1</v>
      </c>
      <c r="Q42" s="2" t="s">
        <v>29</v>
      </c>
      <c r="R42" s="2" t="s">
        <v>30</v>
      </c>
      <c r="S42">
        <v>1</v>
      </c>
      <c r="T42">
        <v>1</v>
      </c>
      <c r="U42">
        <v>1</v>
      </c>
      <c r="V42">
        <v>1</v>
      </c>
      <c r="W42" t="s">
        <v>31</v>
      </c>
      <c r="X42" t="s">
        <v>31</v>
      </c>
      <c r="Y42" t="s">
        <v>31</v>
      </c>
      <c r="Z42" t="s">
        <v>31</v>
      </c>
      <c r="AA42" t="s">
        <v>31</v>
      </c>
    </row>
    <row r="43" ht="15.6" spans="1:27">
      <c r="A43">
        <v>42</v>
      </c>
      <c r="B43" s="8" t="s">
        <v>75</v>
      </c>
      <c r="C43" s="9">
        <v>1</v>
      </c>
      <c r="D43" s="9">
        <v>1</v>
      </c>
      <c r="E43" s="8" t="str" cm="1">
        <f ca="1" t="array" ref="E43">_xlfn.TEXTJOIN("",TRUE,CHAR(RANDBETWEEN(65,90+0*_xlfn.SEQUENCE(15))))</f>
        <v>EQMSGYHMRDDPTFY</v>
      </c>
      <c r="F43" s="8">
        <f t="shared" si="0"/>
        <v>2</v>
      </c>
      <c r="G43">
        <f t="shared" si="3"/>
        <v>158</v>
      </c>
      <c r="H43" s="10">
        <v>0</v>
      </c>
      <c r="I43" s="8" t="s">
        <v>47</v>
      </c>
      <c r="J43" s="13">
        <v>40</v>
      </c>
      <c r="K43" s="10">
        <v>0</v>
      </c>
      <c r="L43" s="10">
        <v>10</v>
      </c>
      <c r="M43" s="10">
        <v>1</v>
      </c>
      <c r="N43" s="14">
        <v>10000159</v>
      </c>
      <c r="O43" s="15" t="str" cm="1">
        <f ca="1" t="array" ref="O43">_xlfn.TEXTJOIN("",TRUE,CHAR(RANDBETWEEN(65,90+0*_xlfn.SEQUENCE(15))))</f>
        <v>OKFOKLTTCQDJMGJ</v>
      </c>
      <c r="P43" s="16">
        <v>1</v>
      </c>
      <c r="Q43" s="2" t="s">
        <v>29</v>
      </c>
      <c r="R43" s="2" t="s">
        <v>30</v>
      </c>
      <c r="S43">
        <v>1</v>
      </c>
      <c r="T43">
        <v>1</v>
      </c>
      <c r="U43">
        <v>1</v>
      </c>
      <c r="V43">
        <v>1</v>
      </c>
      <c r="W43" t="s">
        <v>31</v>
      </c>
      <c r="X43" t="s">
        <v>31</v>
      </c>
      <c r="Y43" t="s">
        <v>31</v>
      </c>
      <c r="Z43" t="s">
        <v>31</v>
      </c>
      <c r="AA43" t="s">
        <v>31</v>
      </c>
    </row>
    <row r="44" ht="15.6" spans="1:27">
      <c r="A44">
        <v>43</v>
      </c>
      <c r="B44" s="8" t="s">
        <v>76</v>
      </c>
      <c r="C44" s="9">
        <v>1</v>
      </c>
      <c r="D44" s="9">
        <v>1</v>
      </c>
      <c r="E44" s="8" t="str" cm="1">
        <f ca="1" t="array" ref="E44">_xlfn.TEXTJOIN("",TRUE,CHAR(RANDBETWEEN(65,90+0*_xlfn.SEQUENCE(15))))</f>
        <v>ZFMRBYUWBXCJNYD</v>
      </c>
      <c r="F44" s="8">
        <f t="shared" si="0"/>
        <v>2</v>
      </c>
      <c r="G44">
        <f t="shared" si="3"/>
        <v>158</v>
      </c>
      <c r="H44" s="10">
        <v>0</v>
      </c>
      <c r="I44" s="8" t="s">
        <v>47</v>
      </c>
      <c r="J44" s="13">
        <v>50</v>
      </c>
      <c r="K44" s="10">
        <v>0</v>
      </c>
      <c r="L44" s="10">
        <v>10</v>
      </c>
      <c r="M44" s="10">
        <v>1</v>
      </c>
      <c r="N44" s="14">
        <v>10000194</v>
      </c>
      <c r="O44" s="15" t="str" cm="1">
        <f ca="1" t="array" ref="O44">_xlfn.TEXTJOIN("",TRUE,CHAR(RANDBETWEEN(65,90+0*_xlfn.SEQUENCE(15))))</f>
        <v>WZFXHUBRPRWFQFX</v>
      </c>
      <c r="P44" s="16">
        <v>1</v>
      </c>
      <c r="Q44" s="2" t="s">
        <v>29</v>
      </c>
      <c r="R44" s="2" t="s">
        <v>30</v>
      </c>
      <c r="S44">
        <v>1</v>
      </c>
      <c r="T44">
        <v>1</v>
      </c>
      <c r="U44">
        <v>1</v>
      </c>
      <c r="V44">
        <v>1</v>
      </c>
      <c r="W44" t="s">
        <v>31</v>
      </c>
      <c r="X44" t="s">
        <v>31</v>
      </c>
      <c r="Y44" t="s">
        <v>31</v>
      </c>
      <c r="Z44" t="s">
        <v>31</v>
      </c>
      <c r="AA44" t="s">
        <v>31</v>
      </c>
    </row>
    <row r="45" ht="15.6" spans="1:27">
      <c r="A45">
        <v>44</v>
      </c>
      <c r="B45" s="8" t="s">
        <v>77</v>
      </c>
      <c r="C45" s="9">
        <v>1</v>
      </c>
      <c r="D45" s="9">
        <v>1</v>
      </c>
      <c r="E45" s="8" t="str" cm="1">
        <f ca="1" t="array" ref="E45">_xlfn.TEXTJOIN("",TRUE,CHAR(RANDBETWEEN(65,90+0*_xlfn.SEQUENCE(15))))</f>
        <v>ECKHQBMDUBYPYQG</v>
      </c>
      <c r="F45" s="8">
        <f t="shared" si="0"/>
        <v>2</v>
      </c>
      <c r="G45">
        <f t="shared" si="3"/>
        <v>158</v>
      </c>
      <c r="H45" s="10">
        <v>0</v>
      </c>
      <c r="I45" s="8" t="s">
        <v>33</v>
      </c>
      <c r="J45" s="13">
        <v>14</v>
      </c>
      <c r="K45" s="10">
        <v>0</v>
      </c>
      <c r="L45" s="10">
        <v>5</v>
      </c>
      <c r="M45" s="10">
        <v>1</v>
      </c>
      <c r="N45" s="14">
        <v>10000200</v>
      </c>
      <c r="O45" s="15" t="str" cm="1">
        <f ca="1" t="array" ref="O45">_xlfn.TEXTJOIN("",TRUE,CHAR(RANDBETWEEN(65,90+0*_xlfn.SEQUENCE(15))))</f>
        <v>GDCDVTHQJGWHHYV</v>
      </c>
      <c r="P45" s="16">
        <v>1</v>
      </c>
      <c r="Q45" s="2" t="s">
        <v>29</v>
      </c>
      <c r="R45" s="2" t="s">
        <v>30</v>
      </c>
      <c r="S45" s="8">
        <v>1</v>
      </c>
      <c r="T45" s="8">
        <v>1</v>
      </c>
      <c r="U45" s="8">
        <v>1</v>
      </c>
      <c r="V45" s="8">
        <v>1</v>
      </c>
      <c r="W45" t="s">
        <v>31</v>
      </c>
      <c r="X45" t="s">
        <v>31</v>
      </c>
      <c r="Y45" t="s">
        <v>31</v>
      </c>
      <c r="Z45" t="s">
        <v>31</v>
      </c>
      <c r="AA45" t="s">
        <v>31</v>
      </c>
    </row>
    <row r="46" ht="15.6" spans="1:27">
      <c r="A46">
        <v>45</v>
      </c>
      <c r="B46" s="8" t="s">
        <v>78</v>
      </c>
      <c r="C46" s="9">
        <v>1</v>
      </c>
      <c r="D46" s="9">
        <v>1</v>
      </c>
      <c r="E46" s="8" t="str" cm="1">
        <f ca="1" t="array" ref="E46">_xlfn.TEXTJOIN("",TRUE,CHAR(RANDBETWEEN(65,90+0*_xlfn.SEQUENCE(15))))</f>
        <v>CKUSBPWHZPGCXHZ</v>
      </c>
      <c r="F46" s="8">
        <f t="shared" si="0"/>
        <v>2</v>
      </c>
      <c r="G46">
        <f t="shared" si="3"/>
        <v>158</v>
      </c>
      <c r="H46" s="10">
        <v>0</v>
      </c>
      <c r="I46" s="8" t="s">
        <v>33</v>
      </c>
      <c r="J46" s="13">
        <v>25</v>
      </c>
      <c r="K46" s="10">
        <v>0</v>
      </c>
      <c r="L46" s="10">
        <v>5</v>
      </c>
      <c r="M46" s="10">
        <v>1</v>
      </c>
      <c r="N46" s="14">
        <v>40021628</v>
      </c>
      <c r="O46" s="15" t="str" cm="1">
        <f ca="1" t="array" ref="O46">_xlfn.TEXTJOIN("",TRUE,CHAR(RANDBETWEEN(65,90+0*_xlfn.SEQUENCE(15))))</f>
        <v>GFSXFGYDRIZYVCM</v>
      </c>
      <c r="P46" s="16">
        <v>1</v>
      </c>
      <c r="Q46" s="2" t="s">
        <v>29</v>
      </c>
      <c r="R46" s="2" t="s">
        <v>30</v>
      </c>
      <c r="S46">
        <v>1</v>
      </c>
      <c r="T46">
        <v>1</v>
      </c>
      <c r="U46">
        <v>1</v>
      </c>
      <c r="V46">
        <v>1</v>
      </c>
      <c r="W46" t="s">
        <v>31</v>
      </c>
      <c r="X46" t="s">
        <v>31</v>
      </c>
      <c r="Y46" t="s">
        <v>31</v>
      </c>
      <c r="Z46" t="s">
        <v>31</v>
      </c>
      <c r="AA46" t="s">
        <v>31</v>
      </c>
    </row>
    <row r="47" ht="15.6" spans="1:27">
      <c r="A47">
        <v>46</v>
      </c>
      <c r="B47" s="8" t="s">
        <v>79</v>
      </c>
      <c r="C47" s="9">
        <v>1</v>
      </c>
      <c r="D47" s="9">
        <v>1</v>
      </c>
      <c r="E47" s="8" t="str" cm="1">
        <f ca="1" t="array" ref="E47">_xlfn.TEXTJOIN("",TRUE,CHAR(RANDBETWEEN(65,90+0*_xlfn.SEQUENCE(15))))</f>
        <v>NAOHTSSHALNPVIF</v>
      </c>
      <c r="F47" s="8">
        <f t="shared" si="0"/>
        <v>2</v>
      </c>
      <c r="G47">
        <f t="shared" si="3"/>
        <v>158</v>
      </c>
      <c r="H47" s="10">
        <v>0</v>
      </c>
      <c r="I47" s="8" t="s">
        <v>33</v>
      </c>
      <c r="J47" s="13">
        <v>35</v>
      </c>
      <c r="K47" s="10">
        <v>0</v>
      </c>
      <c r="L47" s="10">
        <v>5</v>
      </c>
      <c r="M47" s="10">
        <v>1</v>
      </c>
      <c r="N47" s="14">
        <v>10000148</v>
      </c>
      <c r="O47" s="15" t="str" cm="1">
        <f ca="1" t="array" ref="O47">_xlfn.TEXTJOIN("",TRUE,CHAR(RANDBETWEEN(65,90+0*_xlfn.SEQUENCE(15))))</f>
        <v>QKOOOLNKXSOQTUU</v>
      </c>
      <c r="P47" s="16">
        <v>1</v>
      </c>
      <c r="Q47" s="2" t="s">
        <v>29</v>
      </c>
      <c r="R47" s="2" t="s">
        <v>30</v>
      </c>
      <c r="S47">
        <v>1</v>
      </c>
      <c r="T47">
        <v>1</v>
      </c>
      <c r="U47">
        <v>1</v>
      </c>
      <c r="V47">
        <v>1</v>
      </c>
      <c r="W47" t="s">
        <v>31</v>
      </c>
      <c r="X47" t="s">
        <v>31</v>
      </c>
      <c r="Y47" t="s">
        <v>31</v>
      </c>
      <c r="Z47" t="s">
        <v>31</v>
      </c>
      <c r="AA47" t="s">
        <v>31</v>
      </c>
    </row>
    <row r="48" ht="15.6" spans="1:27">
      <c r="A48">
        <v>47</v>
      </c>
      <c r="B48" s="8" t="s">
        <v>80</v>
      </c>
      <c r="C48" s="9">
        <v>1</v>
      </c>
      <c r="D48" s="9">
        <v>1</v>
      </c>
      <c r="E48" s="8" t="str" cm="1">
        <f ca="1" t="array" ref="E48">_xlfn.TEXTJOIN("",TRUE,CHAR(RANDBETWEEN(65,90+0*_xlfn.SEQUENCE(15))))</f>
        <v>WIRSYCPHYNPBUYZ</v>
      </c>
      <c r="F48" s="8">
        <f t="shared" si="0"/>
        <v>2</v>
      </c>
      <c r="G48">
        <f t="shared" si="3"/>
        <v>158</v>
      </c>
      <c r="H48" s="10">
        <v>0</v>
      </c>
      <c r="I48" s="8" t="s">
        <v>33</v>
      </c>
      <c r="J48" s="13">
        <v>45</v>
      </c>
      <c r="K48" s="10">
        <v>0</v>
      </c>
      <c r="L48" s="10">
        <v>5</v>
      </c>
      <c r="M48" s="10">
        <v>1</v>
      </c>
      <c r="N48" s="14">
        <v>10000159</v>
      </c>
      <c r="O48" s="15" t="str" cm="1">
        <f ca="1" t="array" ref="O48">_xlfn.TEXTJOIN("",TRUE,CHAR(RANDBETWEEN(65,90+0*_xlfn.SEQUENCE(15))))</f>
        <v>JATTGEIAAACPTWC</v>
      </c>
      <c r="P48" s="16">
        <v>1</v>
      </c>
      <c r="Q48" s="2" t="s">
        <v>29</v>
      </c>
      <c r="R48" s="2" t="s">
        <v>30</v>
      </c>
      <c r="S48">
        <v>1</v>
      </c>
      <c r="T48">
        <v>1</v>
      </c>
      <c r="U48">
        <v>1</v>
      </c>
      <c r="V48">
        <v>1</v>
      </c>
      <c r="W48" t="s">
        <v>31</v>
      </c>
      <c r="X48" t="s">
        <v>31</v>
      </c>
      <c r="Y48" t="s">
        <v>31</v>
      </c>
      <c r="Z48" t="s">
        <v>31</v>
      </c>
      <c r="AA48" t="s">
        <v>31</v>
      </c>
    </row>
    <row r="49" ht="15.6" spans="1:27">
      <c r="A49">
        <v>48</v>
      </c>
      <c r="B49" s="8" t="s">
        <v>81</v>
      </c>
      <c r="C49" s="9">
        <v>1</v>
      </c>
      <c r="D49" s="9">
        <v>1</v>
      </c>
      <c r="E49" s="8" t="str" cm="1">
        <f ca="1" t="array" ref="E49">_xlfn.TEXTJOIN("",TRUE,CHAR(RANDBETWEEN(65,90+0*_xlfn.SEQUENCE(15))))</f>
        <v>BKDTBURBUIDXESB</v>
      </c>
      <c r="F49" s="8">
        <f t="shared" si="0"/>
        <v>2</v>
      </c>
      <c r="G49">
        <f t="shared" si="3"/>
        <v>158</v>
      </c>
      <c r="H49" s="10">
        <v>0</v>
      </c>
      <c r="I49" s="8" t="s">
        <v>28</v>
      </c>
      <c r="J49" s="13">
        <v>19</v>
      </c>
      <c r="K49" s="10">
        <v>1</v>
      </c>
      <c r="L49" s="10">
        <v>20</v>
      </c>
      <c r="M49" s="10">
        <v>1</v>
      </c>
      <c r="N49" s="14">
        <v>10000148</v>
      </c>
      <c r="O49" s="15" t="str" cm="1">
        <f ca="1" t="array" ref="O49">_xlfn.TEXTJOIN("",TRUE,CHAR(RANDBETWEEN(65,90+0*_xlfn.SEQUENCE(15))))</f>
        <v>IMNMRUUFROZBSEO</v>
      </c>
      <c r="P49" s="16">
        <v>1</v>
      </c>
      <c r="Q49" s="2" t="s">
        <v>29</v>
      </c>
      <c r="R49" s="2" t="s">
        <v>30</v>
      </c>
      <c r="S49">
        <v>1</v>
      </c>
      <c r="T49">
        <v>1</v>
      </c>
      <c r="U49">
        <v>1</v>
      </c>
      <c r="V49">
        <v>1</v>
      </c>
      <c r="W49" t="s">
        <v>31</v>
      </c>
      <c r="X49" t="s">
        <v>31</v>
      </c>
      <c r="Y49" t="s">
        <v>31</v>
      </c>
      <c r="Z49" t="s">
        <v>31</v>
      </c>
      <c r="AA49" t="s">
        <v>31</v>
      </c>
    </row>
    <row r="50" ht="15.6" spans="1:27">
      <c r="A50">
        <v>49</v>
      </c>
      <c r="B50" s="8" t="s">
        <v>82</v>
      </c>
      <c r="C50" s="9">
        <v>1</v>
      </c>
      <c r="D50" s="9">
        <v>1</v>
      </c>
      <c r="E50" s="8" t="str" cm="1">
        <f ca="1" t="array" ref="E50">_xlfn.TEXTJOIN("",TRUE,CHAR(RANDBETWEEN(65,90+0*_xlfn.SEQUENCE(15))))</f>
        <v>WCJCQETLVBISFSW</v>
      </c>
      <c r="F50" s="8">
        <f t="shared" si="0"/>
        <v>2</v>
      </c>
      <c r="G50">
        <f t="shared" si="3"/>
        <v>158</v>
      </c>
      <c r="H50" s="10">
        <v>0</v>
      </c>
      <c r="I50" s="8" t="s">
        <v>33</v>
      </c>
      <c r="J50" s="13">
        <v>35</v>
      </c>
      <c r="K50" s="10">
        <v>1</v>
      </c>
      <c r="L50" s="10">
        <v>10</v>
      </c>
      <c r="M50" s="10">
        <v>1</v>
      </c>
      <c r="N50" s="14">
        <v>10000159</v>
      </c>
      <c r="O50" s="15" t="str" cm="1">
        <f ca="1" t="array" ref="O50">_xlfn.TEXTJOIN("",TRUE,CHAR(RANDBETWEEN(65,90+0*_xlfn.SEQUENCE(15))))</f>
        <v>XLYAHRXRUZJCYFN</v>
      </c>
      <c r="P50" s="16">
        <v>1</v>
      </c>
      <c r="Q50" s="2" t="s">
        <v>29</v>
      </c>
      <c r="R50" s="2" t="s">
        <v>30</v>
      </c>
      <c r="S50">
        <v>1</v>
      </c>
      <c r="T50">
        <v>1</v>
      </c>
      <c r="U50">
        <v>1</v>
      </c>
      <c r="V50">
        <v>1</v>
      </c>
      <c r="W50" t="s">
        <v>31</v>
      </c>
      <c r="X50" t="s">
        <v>31</v>
      </c>
      <c r="Y50" t="s">
        <v>31</v>
      </c>
      <c r="Z50" t="s">
        <v>31</v>
      </c>
      <c r="AA50" t="s">
        <v>31</v>
      </c>
    </row>
    <row r="51" ht="15.6" spans="1:27">
      <c r="A51">
        <v>50</v>
      </c>
      <c r="B51" s="8" t="s">
        <v>83</v>
      </c>
      <c r="C51" s="9">
        <v>1</v>
      </c>
      <c r="D51" s="9">
        <v>1</v>
      </c>
      <c r="E51" s="8" t="str" cm="1">
        <f ca="1" t="array" ref="E51">_xlfn.TEXTJOIN("",TRUE,CHAR(RANDBETWEEN(65,90+0*_xlfn.SEQUENCE(15))))</f>
        <v>KGPHQNKOEGAJBBO</v>
      </c>
      <c r="F51" s="8">
        <f t="shared" si="0"/>
        <v>2</v>
      </c>
      <c r="G51">
        <f t="shared" si="3"/>
        <v>158</v>
      </c>
      <c r="H51" s="10">
        <v>0</v>
      </c>
      <c r="I51" s="8" t="s">
        <v>33</v>
      </c>
      <c r="J51" s="13">
        <v>29</v>
      </c>
      <c r="K51" s="10">
        <v>1</v>
      </c>
      <c r="L51" s="10">
        <v>10</v>
      </c>
      <c r="M51" s="10">
        <v>1</v>
      </c>
      <c r="N51" s="14">
        <v>10000194</v>
      </c>
      <c r="O51" s="15" t="str" cm="1">
        <f ca="1" t="array" ref="O51">_xlfn.TEXTJOIN("",TRUE,CHAR(RANDBETWEEN(65,90+0*_xlfn.SEQUENCE(15))))</f>
        <v>GCJKBVDHPMOXSBR</v>
      </c>
      <c r="P51" s="16">
        <v>1</v>
      </c>
      <c r="Q51" s="2" t="s">
        <v>29</v>
      </c>
      <c r="R51" s="2" t="s">
        <v>30</v>
      </c>
      <c r="S51">
        <v>1</v>
      </c>
      <c r="T51">
        <v>1</v>
      </c>
      <c r="U51">
        <v>1</v>
      </c>
      <c r="V51">
        <v>1</v>
      </c>
      <c r="W51" t="s">
        <v>31</v>
      </c>
      <c r="X51" t="s">
        <v>31</v>
      </c>
      <c r="Y51" t="s">
        <v>31</v>
      </c>
      <c r="Z51" t="s">
        <v>31</v>
      </c>
      <c r="AA51" t="s">
        <v>31</v>
      </c>
    </row>
    <row r="52" ht="15.6" spans="1:27">
      <c r="A52">
        <v>51</v>
      </c>
      <c r="B52" s="8" t="s">
        <v>84</v>
      </c>
      <c r="C52" s="9">
        <v>1</v>
      </c>
      <c r="D52" s="9">
        <v>1</v>
      </c>
      <c r="E52" s="8" t="str" cm="1">
        <f ca="1" t="array" ref="E52">_xlfn.TEXTJOIN("",TRUE,CHAR(RANDBETWEEN(65,90+0*_xlfn.SEQUENCE(15))))</f>
        <v>XVBXMQBDNCNCLNP</v>
      </c>
      <c r="F52" s="8">
        <f t="shared" si="0"/>
        <v>2</v>
      </c>
      <c r="G52">
        <v>160</v>
      </c>
      <c r="H52" s="10">
        <v>0</v>
      </c>
      <c r="I52" s="8" t="s">
        <v>33</v>
      </c>
      <c r="J52" s="13">
        <v>23</v>
      </c>
      <c r="K52" s="10">
        <v>1</v>
      </c>
      <c r="L52" s="10">
        <v>10</v>
      </c>
      <c r="M52" s="10">
        <v>1</v>
      </c>
      <c r="N52" s="14">
        <v>10000194</v>
      </c>
      <c r="O52" s="15" t="str" cm="1">
        <f ca="1" t="array" ref="O52">_xlfn.TEXTJOIN("",TRUE,CHAR(RANDBETWEEN(65,90+0*_xlfn.SEQUENCE(15))))</f>
        <v>PSXISBGVBEZCCXG</v>
      </c>
      <c r="P52" s="16">
        <v>1</v>
      </c>
      <c r="Q52" s="2" t="s">
        <v>29</v>
      </c>
      <c r="R52" s="2" t="s">
        <v>30</v>
      </c>
      <c r="S52">
        <v>1</v>
      </c>
      <c r="T52">
        <v>1</v>
      </c>
      <c r="U52">
        <v>1</v>
      </c>
      <c r="V52">
        <v>1</v>
      </c>
      <c r="W52" t="s">
        <v>31</v>
      </c>
      <c r="X52" t="s">
        <v>31</v>
      </c>
      <c r="Y52" t="s">
        <v>31</v>
      </c>
      <c r="Z52" t="s">
        <v>31</v>
      </c>
      <c r="AA52" t="s">
        <v>31</v>
      </c>
    </row>
    <row r="53" ht="15.6" spans="1:27">
      <c r="A53">
        <v>52</v>
      </c>
      <c r="B53" s="8" t="s">
        <v>85</v>
      </c>
      <c r="C53" s="9">
        <v>1</v>
      </c>
      <c r="D53" s="9">
        <v>1</v>
      </c>
      <c r="E53" s="8" t="str" cm="1">
        <f ca="1" t="array" ref="E53">_xlfn.TEXTJOIN("",TRUE,CHAR(RANDBETWEEN(65,90+0*_xlfn.SEQUENCE(15))))</f>
        <v>KBZZLVBSXHWNJWL</v>
      </c>
      <c r="F53" s="8">
        <f t="shared" si="0"/>
        <v>2</v>
      </c>
      <c r="G53">
        <v>160</v>
      </c>
      <c r="H53" s="10">
        <v>0</v>
      </c>
      <c r="I53" s="8" t="s">
        <v>86</v>
      </c>
      <c r="J53" s="13">
        <v>45</v>
      </c>
      <c r="K53" s="10">
        <v>1</v>
      </c>
      <c r="L53" s="10">
        <v>10</v>
      </c>
      <c r="M53" s="10">
        <v>1</v>
      </c>
      <c r="N53" s="14">
        <v>10000148</v>
      </c>
      <c r="O53" s="15" t="str" cm="1">
        <f ca="1" t="array" ref="O53">_xlfn.TEXTJOIN("",TRUE,CHAR(RANDBETWEEN(65,90+0*_xlfn.SEQUENCE(15))))</f>
        <v>JYOTVFLSFIDGTCN</v>
      </c>
      <c r="P53" s="16">
        <v>1</v>
      </c>
      <c r="Q53" s="2" t="s">
        <v>29</v>
      </c>
      <c r="R53" s="2" t="s">
        <v>30</v>
      </c>
      <c r="S53">
        <v>1</v>
      </c>
      <c r="T53">
        <v>1</v>
      </c>
      <c r="U53">
        <v>1</v>
      </c>
      <c r="V53">
        <v>1</v>
      </c>
      <c r="W53" t="s">
        <v>31</v>
      </c>
      <c r="X53" t="s">
        <v>31</v>
      </c>
      <c r="Y53" t="s">
        <v>31</v>
      </c>
      <c r="Z53" t="s">
        <v>31</v>
      </c>
      <c r="AA53" t="s">
        <v>31</v>
      </c>
    </row>
    <row r="54" ht="15.6" spans="1:27">
      <c r="A54">
        <v>53</v>
      </c>
      <c r="B54" s="8" t="s">
        <v>87</v>
      </c>
      <c r="C54" s="9">
        <v>1</v>
      </c>
      <c r="D54" s="9">
        <v>1</v>
      </c>
      <c r="E54" s="8" t="str" cm="1">
        <f ca="1" t="array" ref="E54">_xlfn.TEXTJOIN("",TRUE,CHAR(RANDBETWEEN(65,90+0*_xlfn.SEQUENCE(15))))</f>
        <v>BWPCHVBZHPHDJDO</v>
      </c>
      <c r="F54" s="8">
        <f t="shared" si="0"/>
        <v>2</v>
      </c>
      <c r="G54">
        <v>160</v>
      </c>
      <c r="H54" s="10">
        <v>0</v>
      </c>
      <c r="I54" s="8" t="s">
        <v>88</v>
      </c>
      <c r="J54" s="13">
        <v>14</v>
      </c>
      <c r="K54" s="10">
        <v>0</v>
      </c>
      <c r="L54" s="10">
        <v>10</v>
      </c>
      <c r="M54" s="10">
        <v>1</v>
      </c>
      <c r="N54" s="14">
        <v>10000159</v>
      </c>
      <c r="O54" s="15" t="str" cm="1">
        <f ca="1" t="array" ref="O54">_xlfn.TEXTJOIN("",TRUE,CHAR(RANDBETWEEN(65,90+0*_xlfn.SEQUENCE(15))))</f>
        <v>SOQNNBKRKVXZOXN</v>
      </c>
      <c r="P54" s="16">
        <v>1</v>
      </c>
      <c r="Q54" s="2" t="s">
        <v>29</v>
      </c>
      <c r="R54" s="2" t="s">
        <v>30</v>
      </c>
      <c r="S54">
        <v>1</v>
      </c>
      <c r="T54">
        <v>1</v>
      </c>
      <c r="U54">
        <v>1</v>
      </c>
      <c r="V54">
        <v>1</v>
      </c>
      <c r="W54" t="s">
        <v>31</v>
      </c>
      <c r="X54" t="s">
        <v>31</v>
      </c>
      <c r="Y54" t="s">
        <v>31</v>
      </c>
      <c r="Z54" t="s">
        <v>31</v>
      </c>
      <c r="AA54" t="s">
        <v>31</v>
      </c>
    </row>
    <row r="55" ht="15.6" spans="1:27">
      <c r="A55">
        <v>54</v>
      </c>
      <c r="B55" s="8" t="s">
        <v>89</v>
      </c>
      <c r="C55" s="9">
        <v>1</v>
      </c>
      <c r="D55" s="9">
        <v>1</v>
      </c>
      <c r="E55" s="8" t="str" cm="1">
        <f ca="1" t="array" ref="E55">_xlfn.TEXTJOIN("",TRUE,CHAR(RANDBETWEEN(65,90+0*_xlfn.SEQUENCE(15))))</f>
        <v>OXGJUVKVANBEIAK</v>
      </c>
      <c r="F55" s="8">
        <f t="shared" si="0"/>
        <v>2</v>
      </c>
      <c r="G55">
        <v>160</v>
      </c>
      <c r="H55" s="10">
        <v>0</v>
      </c>
      <c r="I55" s="8" t="s">
        <v>86</v>
      </c>
      <c r="J55" s="13">
        <v>45</v>
      </c>
      <c r="K55" s="10">
        <v>0</v>
      </c>
      <c r="L55" s="10">
        <v>10</v>
      </c>
      <c r="M55" s="10">
        <v>1</v>
      </c>
      <c r="N55" s="14">
        <v>10000194</v>
      </c>
      <c r="O55" s="15" t="str" cm="1">
        <f ca="1" t="array" ref="O55">_xlfn.TEXTJOIN("",TRUE,CHAR(RANDBETWEEN(65,90+0*_xlfn.SEQUENCE(15))))</f>
        <v>CJEEQTCPAWGGXLK</v>
      </c>
      <c r="P55" s="16">
        <v>1</v>
      </c>
      <c r="Q55" s="2" t="s">
        <v>29</v>
      </c>
      <c r="R55" s="2" t="s">
        <v>30</v>
      </c>
      <c r="S55">
        <v>1</v>
      </c>
      <c r="T55">
        <v>1</v>
      </c>
      <c r="U55">
        <v>1</v>
      </c>
      <c r="V55">
        <v>1</v>
      </c>
      <c r="W55" t="s">
        <v>31</v>
      </c>
      <c r="X55" t="s">
        <v>31</v>
      </c>
      <c r="Y55" t="s">
        <v>31</v>
      </c>
      <c r="Z55" t="s">
        <v>31</v>
      </c>
      <c r="AA55" t="s">
        <v>31</v>
      </c>
    </row>
    <row r="56" ht="15.6" spans="1:27">
      <c r="A56">
        <v>55</v>
      </c>
      <c r="B56" s="8" t="s">
        <v>90</v>
      </c>
      <c r="C56" s="9">
        <v>1</v>
      </c>
      <c r="D56" s="9">
        <v>1</v>
      </c>
      <c r="E56" s="8" t="str" cm="1">
        <f ca="1" t="array" ref="E56">_xlfn.TEXTJOIN("",TRUE,CHAR(RANDBETWEEN(65,90+0*_xlfn.SEQUENCE(15))))</f>
        <v>UWBUAAWRJUVFTPL</v>
      </c>
      <c r="F56" s="8">
        <f t="shared" si="0"/>
        <v>2</v>
      </c>
      <c r="G56">
        <v>14</v>
      </c>
      <c r="H56" s="10">
        <v>0</v>
      </c>
      <c r="I56" s="8" t="s">
        <v>91</v>
      </c>
      <c r="J56" s="13">
        <v>15</v>
      </c>
      <c r="K56" s="10">
        <v>0</v>
      </c>
      <c r="L56" s="10">
        <v>5</v>
      </c>
      <c r="M56" s="10">
        <v>1</v>
      </c>
      <c r="N56" s="14">
        <v>10000200</v>
      </c>
      <c r="O56" s="15" t="str" cm="1">
        <f ca="1" t="array" ref="O56">_xlfn.TEXTJOIN("",TRUE,CHAR(RANDBETWEEN(65,90+0*_xlfn.SEQUENCE(15))))</f>
        <v>GXJATTJTZDUXQJY</v>
      </c>
      <c r="P56" s="16">
        <v>1</v>
      </c>
      <c r="Q56" s="2" t="s">
        <v>29</v>
      </c>
      <c r="R56" s="2" t="s">
        <v>30</v>
      </c>
      <c r="S56" s="8">
        <v>1</v>
      </c>
      <c r="T56" s="8">
        <v>1</v>
      </c>
      <c r="U56" s="8">
        <v>1</v>
      </c>
      <c r="V56" s="8">
        <v>1</v>
      </c>
      <c r="W56" t="s">
        <v>31</v>
      </c>
      <c r="X56" t="s">
        <v>31</v>
      </c>
      <c r="Y56" t="s">
        <v>31</v>
      </c>
      <c r="Z56" t="s">
        <v>31</v>
      </c>
      <c r="AA56" t="s">
        <v>31</v>
      </c>
    </row>
    <row r="57" ht="15.6" spans="1:27">
      <c r="A57">
        <v>56</v>
      </c>
      <c r="B57" s="8" t="s">
        <v>92</v>
      </c>
      <c r="C57" s="9">
        <v>1</v>
      </c>
      <c r="D57" s="9">
        <v>1</v>
      </c>
      <c r="E57" s="8" t="str" cm="1">
        <f ca="1" t="array" ref="E57">_xlfn.TEXTJOIN("",TRUE,CHAR(RANDBETWEEN(65,90+0*_xlfn.SEQUENCE(15))))</f>
        <v>NPECAMZSAIYVILQ</v>
      </c>
      <c r="F57" s="8">
        <f t="shared" si="0"/>
        <v>2</v>
      </c>
      <c r="G57">
        <v>14</v>
      </c>
      <c r="H57" s="10">
        <v>0</v>
      </c>
      <c r="I57" s="8" t="s">
        <v>33</v>
      </c>
      <c r="J57" s="13">
        <v>20</v>
      </c>
      <c r="K57" s="10">
        <v>0</v>
      </c>
      <c r="L57" s="10">
        <v>5</v>
      </c>
      <c r="M57" s="10">
        <v>1</v>
      </c>
      <c r="N57" s="14">
        <v>40021628</v>
      </c>
      <c r="O57" s="15" t="str" cm="1">
        <f ca="1" t="array" ref="O57">_xlfn.TEXTJOIN("",TRUE,CHAR(RANDBETWEEN(65,90+0*_xlfn.SEQUENCE(15))))</f>
        <v>FOUDTRKPPXPQUOU</v>
      </c>
      <c r="P57" s="16">
        <v>1</v>
      </c>
      <c r="Q57" s="2" t="s">
        <v>29</v>
      </c>
      <c r="R57" s="2" t="s">
        <v>30</v>
      </c>
      <c r="S57">
        <v>1</v>
      </c>
      <c r="T57">
        <v>1</v>
      </c>
      <c r="U57">
        <v>1</v>
      </c>
      <c r="V57">
        <v>1</v>
      </c>
      <c r="W57" t="s">
        <v>31</v>
      </c>
      <c r="X57" t="s">
        <v>31</v>
      </c>
      <c r="Y57" t="s">
        <v>31</v>
      </c>
      <c r="Z57" t="s">
        <v>31</v>
      </c>
      <c r="AA57" t="s">
        <v>31</v>
      </c>
    </row>
    <row r="58" ht="15.6" spans="1:27">
      <c r="A58">
        <v>57</v>
      </c>
      <c r="B58" s="8" t="s">
        <v>93</v>
      </c>
      <c r="C58" s="9">
        <v>1</v>
      </c>
      <c r="D58" s="9">
        <v>1</v>
      </c>
      <c r="E58" s="8" t="str" cm="1">
        <f ca="1" t="array" ref="E58">_xlfn.TEXTJOIN("",TRUE,CHAR(RANDBETWEEN(65,90+0*_xlfn.SEQUENCE(15))))</f>
        <v>AMVNUUMSKTYBXMP</v>
      </c>
      <c r="F58" s="8">
        <f t="shared" si="0"/>
        <v>2</v>
      </c>
      <c r="G58">
        <v>14</v>
      </c>
      <c r="H58" s="10">
        <v>0</v>
      </c>
      <c r="I58" s="8" t="s">
        <v>33</v>
      </c>
      <c r="J58" s="13">
        <v>80</v>
      </c>
      <c r="K58" s="10">
        <v>0</v>
      </c>
      <c r="L58" s="10">
        <v>5</v>
      </c>
      <c r="M58" s="10">
        <v>1</v>
      </c>
      <c r="N58" s="14">
        <v>10000148</v>
      </c>
      <c r="O58" s="15" t="str" cm="1">
        <f ca="1" t="array" ref="O58">_xlfn.TEXTJOIN("",TRUE,CHAR(RANDBETWEEN(65,90+0*_xlfn.SEQUENCE(15))))</f>
        <v>ZUAQSIWDXZSJIHG</v>
      </c>
      <c r="P58" s="16">
        <v>1</v>
      </c>
      <c r="Q58" s="2" t="s">
        <v>29</v>
      </c>
      <c r="R58" s="2" t="s">
        <v>30</v>
      </c>
      <c r="S58">
        <v>1</v>
      </c>
      <c r="T58">
        <v>1</v>
      </c>
      <c r="U58">
        <v>1</v>
      </c>
      <c r="V58">
        <v>1</v>
      </c>
      <c r="W58" t="s">
        <v>31</v>
      </c>
      <c r="X58" t="s">
        <v>31</v>
      </c>
      <c r="Y58" t="s">
        <v>31</v>
      </c>
      <c r="Z58" t="s">
        <v>31</v>
      </c>
      <c r="AA58" t="s">
        <v>31</v>
      </c>
    </row>
    <row r="59" ht="15.6" spans="1:27">
      <c r="A59">
        <v>58</v>
      </c>
      <c r="B59" s="8" t="s">
        <v>94</v>
      </c>
      <c r="C59" s="9">
        <v>1</v>
      </c>
      <c r="D59" s="9">
        <v>1</v>
      </c>
      <c r="E59" s="8" t="str" cm="1">
        <f ca="1" t="array" ref="E59">_xlfn.TEXTJOIN("",TRUE,CHAR(RANDBETWEEN(65,90+0*_xlfn.SEQUENCE(15))))</f>
        <v>KQCUFWKEUCMEZMP</v>
      </c>
      <c r="F59" s="8">
        <f t="shared" si="0"/>
        <v>2</v>
      </c>
      <c r="G59">
        <v>14</v>
      </c>
      <c r="H59" s="10">
        <v>0</v>
      </c>
      <c r="I59" s="8" t="s">
        <v>28</v>
      </c>
      <c r="J59" s="13">
        <v>20</v>
      </c>
      <c r="K59" s="10">
        <v>0</v>
      </c>
      <c r="L59" s="10">
        <v>5</v>
      </c>
      <c r="M59" s="10">
        <v>1</v>
      </c>
      <c r="N59" s="14">
        <v>10000159</v>
      </c>
      <c r="O59" s="15" t="str" cm="1">
        <f ca="1" t="array" ref="O59">_xlfn.TEXTJOIN("",TRUE,CHAR(RANDBETWEEN(65,90+0*_xlfn.SEQUENCE(15))))</f>
        <v>WQTIFYTPHNPUJES</v>
      </c>
      <c r="P59" s="16">
        <v>1</v>
      </c>
      <c r="Q59" s="2" t="s">
        <v>29</v>
      </c>
      <c r="R59" s="2" t="s">
        <v>30</v>
      </c>
      <c r="S59">
        <v>1</v>
      </c>
      <c r="T59">
        <v>1</v>
      </c>
      <c r="U59">
        <v>1</v>
      </c>
      <c r="V59">
        <v>1</v>
      </c>
      <c r="W59" t="s">
        <v>31</v>
      </c>
      <c r="X59" t="s">
        <v>31</v>
      </c>
      <c r="Y59" t="s">
        <v>31</v>
      </c>
      <c r="Z59" t="s">
        <v>31</v>
      </c>
      <c r="AA59" t="s">
        <v>31</v>
      </c>
    </row>
    <row r="60" ht="15.6" spans="1:27">
      <c r="A60">
        <v>59</v>
      </c>
      <c r="B60" s="8" t="s">
        <v>95</v>
      </c>
      <c r="C60" s="9">
        <v>1</v>
      </c>
      <c r="D60" s="9">
        <v>1</v>
      </c>
      <c r="E60" s="8" t="str" cm="1">
        <f ca="1" t="array" ref="E60">_xlfn.TEXTJOIN("",TRUE,CHAR(RANDBETWEEN(65,90+0*_xlfn.SEQUENCE(15))))</f>
        <v>XTWRGSULKPIWBFO</v>
      </c>
      <c r="F60" s="8">
        <f t="shared" si="0"/>
        <v>2</v>
      </c>
      <c r="G60">
        <v>14</v>
      </c>
      <c r="H60" s="10">
        <v>0</v>
      </c>
      <c r="I60" s="8" t="s">
        <v>28</v>
      </c>
      <c r="J60" s="13">
        <v>18</v>
      </c>
      <c r="K60" s="10">
        <v>1</v>
      </c>
      <c r="L60" s="10">
        <v>20</v>
      </c>
      <c r="M60" s="10">
        <v>1</v>
      </c>
      <c r="N60" s="14">
        <v>10000148</v>
      </c>
      <c r="O60" s="15" t="str" cm="1">
        <f ca="1" t="array" ref="O60">_xlfn.TEXTJOIN("",TRUE,CHAR(RANDBETWEEN(65,90+0*_xlfn.SEQUENCE(15))))</f>
        <v>UQKKFTAYYAEJZJP</v>
      </c>
      <c r="P60" s="16">
        <v>1</v>
      </c>
      <c r="Q60" s="2" t="s">
        <v>29</v>
      </c>
      <c r="R60" s="2" t="s">
        <v>30</v>
      </c>
      <c r="S60">
        <v>1</v>
      </c>
      <c r="T60">
        <v>1</v>
      </c>
      <c r="U60">
        <v>1</v>
      </c>
      <c r="V60">
        <v>1</v>
      </c>
      <c r="W60" t="s">
        <v>31</v>
      </c>
      <c r="X60" t="s">
        <v>31</v>
      </c>
      <c r="Y60" t="s">
        <v>31</v>
      </c>
      <c r="Z60" t="s">
        <v>31</v>
      </c>
      <c r="AA60" t="s">
        <v>31</v>
      </c>
    </row>
    <row r="61" ht="15.6" spans="1:27">
      <c r="A61">
        <v>60</v>
      </c>
      <c r="B61" s="8" t="s">
        <v>96</v>
      </c>
      <c r="C61" s="9">
        <v>1</v>
      </c>
      <c r="D61" s="9">
        <v>1</v>
      </c>
      <c r="E61" s="8" t="str" cm="1">
        <f ca="1" t="array" ref="E61">_xlfn.TEXTJOIN("",TRUE,CHAR(RANDBETWEEN(65,90+0*_xlfn.SEQUENCE(15))))</f>
        <v>MNLDOSPESUWXROL</v>
      </c>
      <c r="F61" s="8">
        <f t="shared" si="0"/>
        <v>2</v>
      </c>
      <c r="G61">
        <v>14</v>
      </c>
      <c r="H61" s="10">
        <v>0</v>
      </c>
      <c r="I61" s="8" t="s">
        <v>47</v>
      </c>
      <c r="J61" s="13">
        <v>65</v>
      </c>
      <c r="K61" s="10">
        <v>1</v>
      </c>
      <c r="L61" s="10">
        <v>10</v>
      </c>
      <c r="M61" s="10">
        <v>1</v>
      </c>
      <c r="N61" s="14">
        <v>10000159</v>
      </c>
      <c r="O61" s="15" t="str" cm="1">
        <f ca="1" t="array" ref="O61">_xlfn.TEXTJOIN("",TRUE,CHAR(RANDBETWEEN(65,90+0*_xlfn.SEQUENCE(15))))</f>
        <v>WVVVKJSKHZUDXLG</v>
      </c>
      <c r="P61" s="16">
        <v>1</v>
      </c>
      <c r="Q61" s="2" t="s">
        <v>29</v>
      </c>
      <c r="R61" s="2" t="s">
        <v>30</v>
      </c>
      <c r="S61">
        <v>1</v>
      </c>
      <c r="T61">
        <v>1</v>
      </c>
      <c r="U61">
        <v>1</v>
      </c>
      <c r="V61">
        <v>1</v>
      </c>
      <c r="W61" t="s">
        <v>31</v>
      </c>
      <c r="X61" t="s">
        <v>31</v>
      </c>
      <c r="Y61" t="s">
        <v>31</v>
      </c>
      <c r="Z61" t="s">
        <v>31</v>
      </c>
      <c r="AA61" t="s">
        <v>31</v>
      </c>
    </row>
    <row r="62" ht="15.6" spans="1:27">
      <c r="A62">
        <v>61</v>
      </c>
      <c r="B62" s="8" t="s">
        <v>97</v>
      </c>
      <c r="C62" s="9">
        <v>1</v>
      </c>
      <c r="D62" s="9">
        <v>1</v>
      </c>
      <c r="E62" s="8" t="str" cm="1">
        <f ca="1" t="array" ref="E62">_xlfn.TEXTJOIN("",TRUE,CHAR(RANDBETWEEN(65,90+0*_xlfn.SEQUENCE(15))))</f>
        <v>KHPYGMNTBPICVGB</v>
      </c>
      <c r="F62" s="8">
        <f t="shared" si="0"/>
        <v>2</v>
      </c>
      <c r="G62">
        <v>27</v>
      </c>
      <c r="H62" s="10">
        <v>0</v>
      </c>
      <c r="I62" s="8" t="s">
        <v>47</v>
      </c>
      <c r="J62" s="13">
        <v>40</v>
      </c>
      <c r="K62" s="10">
        <v>1</v>
      </c>
      <c r="L62" s="10">
        <v>10</v>
      </c>
      <c r="M62" s="10">
        <v>1</v>
      </c>
      <c r="N62" s="14">
        <v>10000194</v>
      </c>
      <c r="O62" s="15" t="str" cm="1">
        <f ca="1" t="array" ref="O62">_xlfn.TEXTJOIN("",TRUE,CHAR(RANDBETWEEN(65,90+0*_xlfn.SEQUENCE(15))))</f>
        <v>DMKDWYVIBHFWYVO</v>
      </c>
      <c r="P62" s="16">
        <v>1</v>
      </c>
      <c r="Q62" s="2" t="s">
        <v>29</v>
      </c>
      <c r="R62" s="2" t="s">
        <v>30</v>
      </c>
      <c r="S62">
        <v>1</v>
      </c>
      <c r="T62">
        <v>1</v>
      </c>
      <c r="U62">
        <v>1</v>
      </c>
      <c r="V62">
        <v>1</v>
      </c>
      <c r="W62" t="s">
        <v>31</v>
      </c>
      <c r="X62" t="s">
        <v>31</v>
      </c>
      <c r="Y62" t="s">
        <v>31</v>
      </c>
      <c r="Z62" t="s">
        <v>31</v>
      </c>
      <c r="AA62" t="s">
        <v>31</v>
      </c>
    </row>
    <row r="63" ht="15.6" spans="1:27">
      <c r="A63">
        <v>62</v>
      </c>
      <c r="B63" s="8" t="s">
        <v>98</v>
      </c>
      <c r="C63" s="9">
        <v>1</v>
      </c>
      <c r="D63" s="9">
        <v>1</v>
      </c>
      <c r="E63" s="8" t="str" cm="1">
        <f ca="1" t="array" ref="E63">_xlfn.TEXTJOIN("",TRUE,CHAR(RANDBETWEEN(65,90+0*_xlfn.SEQUENCE(15))))</f>
        <v>FXAFOZEXSLMHBLF</v>
      </c>
      <c r="F63" s="8">
        <f t="shared" si="0"/>
        <v>2</v>
      </c>
      <c r="G63">
        <v>27</v>
      </c>
      <c r="H63" s="10">
        <v>0</v>
      </c>
      <c r="I63" s="8" t="s">
        <v>33</v>
      </c>
      <c r="J63" s="13">
        <v>21</v>
      </c>
      <c r="K63" s="10">
        <v>1</v>
      </c>
      <c r="L63" s="10">
        <v>10</v>
      </c>
      <c r="M63" s="10">
        <v>1</v>
      </c>
      <c r="N63" s="14">
        <v>10000194</v>
      </c>
      <c r="O63" s="15" t="str" cm="1">
        <f ca="1" t="array" ref="O63">_xlfn.TEXTJOIN("",TRUE,CHAR(RANDBETWEEN(65,90+0*_xlfn.SEQUENCE(15))))</f>
        <v>UNSSPUCCVSSRFJO</v>
      </c>
      <c r="P63" s="16">
        <v>1</v>
      </c>
      <c r="Q63" s="2" t="s">
        <v>29</v>
      </c>
      <c r="R63" s="2" t="s">
        <v>30</v>
      </c>
      <c r="S63">
        <v>1</v>
      </c>
      <c r="T63">
        <v>1</v>
      </c>
      <c r="U63">
        <v>1</v>
      </c>
      <c r="V63">
        <v>1</v>
      </c>
      <c r="W63" t="s">
        <v>31</v>
      </c>
      <c r="X63" t="s">
        <v>31</v>
      </c>
      <c r="Y63" t="s">
        <v>31</v>
      </c>
      <c r="Z63" t="s">
        <v>31</v>
      </c>
      <c r="AA63" t="s">
        <v>31</v>
      </c>
    </row>
    <row r="64" ht="15.6" spans="1:27">
      <c r="A64">
        <v>63</v>
      </c>
      <c r="B64" s="8" t="s">
        <v>99</v>
      </c>
      <c r="C64" s="9">
        <v>1</v>
      </c>
      <c r="D64" s="9">
        <v>1</v>
      </c>
      <c r="E64" s="8" t="str" cm="1">
        <f ca="1" t="array" ref="E64">_xlfn.TEXTJOIN("",TRUE,CHAR(RANDBETWEEN(65,90+0*_xlfn.SEQUENCE(15))))</f>
        <v>ONVLLMWQVQIUITJ</v>
      </c>
      <c r="F64" s="8">
        <f t="shared" si="0"/>
        <v>2</v>
      </c>
      <c r="G64">
        <v>27</v>
      </c>
      <c r="H64" s="10">
        <v>0</v>
      </c>
      <c r="I64" s="8" t="s">
        <v>33</v>
      </c>
      <c r="J64" s="13">
        <v>20</v>
      </c>
      <c r="K64" s="10">
        <v>1</v>
      </c>
      <c r="L64" s="10">
        <v>10</v>
      </c>
      <c r="M64" s="10">
        <v>1</v>
      </c>
      <c r="N64" s="14">
        <v>10000148</v>
      </c>
      <c r="O64" s="15" t="str" cm="1">
        <f ca="1" t="array" ref="O64">_xlfn.TEXTJOIN("",TRUE,CHAR(RANDBETWEEN(65,90+0*_xlfn.SEQUENCE(15))))</f>
        <v>NFONQNMKZRKUQPH</v>
      </c>
      <c r="P64" s="16">
        <v>1</v>
      </c>
      <c r="Q64" s="2" t="s">
        <v>29</v>
      </c>
      <c r="R64" s="2" t="s">
        <v>30</v>
      </c>
      <c r="S64">
        <v>1</v>
      </c>
      <c r="T64">
        <v>1</v>
      </c>
      <c r="U64">
        <v>1</v>
      </c>
      <c r="V64">
        <v>1</v>
      </c>
      <c r="W64" t="s">
        <v>31</v>
      </c>
      <c r="X64" t="s">
        <v>31</v>
      </c>
      <c r="Y64" t="s">
        <v>31</v>
      </c>
      <c r="Z64" t="s">
        <v>31</v>
      </c>
      <c r="AA64" t="s">
        <v>31</v>
      </c>
    </row>
    <row r="65" ht="15.6" spans="1:27">
      <c r="A65">
        <v>64</v>
      </c>
      <c r="B65" s="8" t="s">
        <v>100</v>
      </c>
      <c r="C65" s="9">
        <v>1</v>
      </c>
      <c r="D65" s="9">
        <v>1</v>
      </c>
      <c r="E65" s="8" t="str" cm="1">
        <f ca="1" t="array" ref="E65">_xlfn.TEXTJOIN("",TRUE,CHAR(RANDBETWEEN(65,90+0*_xlfn.SEQUENCE(15))))</f>
        <v>HTHNDTGQOPGBTIZ</v>
      </c>
      <c r="F65" s="8">
        <f t="shared" si="0"/>
        <v>2</v>
      </c>
      <c r="G65">
        <v>27</v>
      </c>
      <c r="H65" s="10">
        <v>0</v>
      </c>
      <c r="I65" s="8" t="s">
        <v>47</v>
      </c>
      <c r="J65" s="13">
        <v>40</v>
      </c>
      <c r="K65" s="10">
        <v>0</v>
      </c>
      <c r="L65" s="10">
        <v>10</v>
      </c>
      <c r="M65" s="10">
        <v>1</v>
      </c>
      <c r="N65" s="14">
        <v>10000159</v>
      </c>
      <c r="O65" s="15" t="str" cm="1">
        <f ca="1" t="array" ref="O65">_xlfn.TEXTJOIN("",TRUE,CHAR(RANDBETWEEN(65,90+0*_xlfn.SEQUENCE(15))))</f>
        <v>HQKYDYVOOTLFEIS</v>
      </c>
      <c r="P65" s="16">
        <v>1</v>
      </c>
      <c r="Q65" s="2" t="s">
        <v>29</v>
      </c>
      <c r="R65" s="2" t="s">
        <v>30</v>
      </c>
      <c r="S65">
        <v>1</v>
      </c>
      <c r="T65">
        <v>1</v>
      </c>
      <c r="U65">
        <v>1</v>
      </c>
      <c r="V65">
        <v>1</v>
      </c>
      <c r="W65" t="s">
        <v>31</v>
      </c>
      <c r="X65" t="s">
        <v>31</v>
      </c>
      <c r="Y65" t="s">
        <v>31</v>
      </c>
      <c r="Z65" t="s">
        <v>31</v>
      </c>
      <c r="AA65" t="s">
        <v>31</v>
      </c>
    </row>
    <row r="66" ht="15.6" spans="1:27">
      <c r="A66">
        <v>65</v>
      </c>
      <c r="B66" s="8" t="s">
        <v>101</v>
      </c>
      <c r="C66" s="9">
        <v>1</v>
      </c>
      <c r="D66" s="9">
        <v>1</v>
      </c>
      <c r="E66" s="8" t="str" cm="1">
        <f ca="1" t="array" ref="E66">_xlfn.TEXTJOIN("",TRUE,CHAR(RANDBETWEEN(65,90+0*_xlfn.SEQUENCE(15))))</f>
        <v>JJVTDVWTSMAOQZR</v>
      </c>
      <c r="F66" s="8">
        <f>2</f>
        <v>2</v>
      </c>
      <c r="G66">
        <v>27</v>
      </c>
      <c r="H66" s="10">
        <v>0</v>
      </c>
      <c r="I66" s="8" t="s">
        <v>33</v>
      </c>
      <c r="J66" s="13">
        <v>20</v>
      </c>
      <c r="K66" s="10">
        <v>0</v>
      </c>
      <c r="L66" s="10">
        <v>10</v>
      </c>
      <c r="M66" s="10">
        <v>1</v>
      </c>
      <c r="N66" s="14">
        <v>10000194</v>
      </c>
      <c r="O66" s="15" t="str" cm="1">
        <f ca="1" t="array" ref="O66">_xlfn.TEXTJOIN("",TRUE,CHAR(RANDBETWEEN(65,90+0*_xlfn.SEQUENCE(15))))</f>
        <v>IKZYTHVUJOHCZBV</v>
      </c>
      <c r="P66" s="16">
        <v>1</v>
      </c>
      <c r="Q66" s="2" t="s">
        <v>29</v>
      </c>
      <c r="R66" s="2" t="s">
        <v>30</v>
      </c>
      <c r="S66">
        <v>1</v>
      </c>
      <c r="T66">
        <v>1</v>
      </c>
      <c r="U66">
        <v>1</v>
      </c>
      <c r="V66">
        <v>1</v>
      </c>
      <c r="W66" t="s">
        <v>31</v>
      </c>
      <c r="X66" t="s">
        <v>31</v>
      </c>
      <c r="Y66" t="s">
        <v>31</v>
      </c>
      <c r="Z66" t="s">
        <v>31</v>
      </c>
      <c r="AA66" t="s">
        <v>31</v>
      </c>
    </row>
    <row r="67" ht="15.6" spans="1:27">
      <c r="A67">
        <v>66</v>
      </c>
      <c r="B67" s="8" t="s">
        <v>102</v>
      </c>
      <c r="C67" s="9">
        <v>1</v>
      </c>
      <c r="D67" s="9">
        <v>1</v>
      </c>
      <c r="E67" s="8" t="str" cm="1">
        <f ca="1" t="array" ref="E67">_xlfn.TEXTJOIN("",TRUE,CHAR(RANDBETWEEN(65,90+0*_xlfn.SEQUENCE(15))))</f>
        <v>LBHCKVWVKAWXOVJ</v>
      </c>
      <c r="F67" s="8">
        <f>2</f>
        <v>2</v>
      </c>
      <c r="G67">
        <v>26</v>
      </c>
      <c r="H67" s="10">
        <v>0</v>
      </c>
      <c r="I67" s="8" t="s">
        <v>33</v>
      </c>
      <c r="J67" s="13">
        <v>28</v>
      </c>
      <c r="K67" s="10">
        <v>0</v>
      </c>
      <c r="L67" s="10">
        <v>5</v>
      </c>
      <c r="M67" s="10">
        <v>1</v>
      </c>
      <c r="N67" s="14">
        <v>10000200</v>
      </c>
      <c r="O67" s="15" t="str" cm="1">
        <f ca="1" t="array" ref="O67">_xlfn.TEXTJOIN("",TRUE,CHAR(RANDBETWEEN(65,90+0*_xlfn.SEQUENCE(15))))</f>
        <v>FUUOASYYPEHYLBU</v>
      </c>
      <c r="P67" s="16">
        <v>1</v>
      </c>
      <c r="Q67" s="2" t="s">
        <v>29</v>
      </c>
      <c r="R67" s="2" t="s">
        <v>30</v>
      </c>
      <c r="S67" s="8">
        <v>1</v>
      </c>
      <c r="T67" s="8">
        <v>1</v>
      </c>
      <c r="U67" s="8">
        <v>1</v>
      </c>
      <c r="V67" s="8">
        <v>1</v>
      </c>
      <c r="W67" t="s">
        <v>31</v>
      </c>
      <c r="X67" t="s">
        <v>31</v>
      </c>
      <c r="Y67" t="s">
        <v>31</v>
      </c>
      <c r="Z67" t="s">
        <v>31</v>
      </c>
      <c r="AA67" t="s">
        <v>31</v>
      </c>
    </row>
    <row r="68" ht="15.6" spans="1:27">
      <c r="A68">
        <v>67</v>
      </c>
      <c r="B68" s="8" t="s">
        <v>103</v>
      </c>
      <c r="C68" s="9">
        <v>1</v>
      </c>
      <c r="D68" s="9">
        <v>1</v>
      </c>
      <c r="E68" s="8" t="str" cm="1">
        <f ca="1" t="array" ref="E68">_xlfn.TEXTJOIN("",TRUE,CHAR(RANDBETWEEN(65,90+0*_xlfn.SEQUENCE(15))))</f>
        <v>IRIWOVGJLVUQDYL</v>
      </c>
      <c r="F68" s="8">
        <f>2</f>
        <v>2</v>
      </c>
      <c r="G68">
        <v>26</v>
      </c>
      <c r="H68" s="10">
        <v>0</v>
      </c>
      <c r="I68" s="8" t="s">
        <v>33</v>
      </c>
      <c r="J68" s="13">
        <v>37</v>
      </c>
      <c r="K68" s="10">
        <v>0</v>
      </c>
      <c r="L68" s="10">
        <v>5</v>
      </c>
      <c r="M68" s="10">
        <v>1</v>
      </c>
      <c r="N68" s="14">
        <v>40021628</v>
      </c>
      <c r="O68" s="15" t="str" cm="1">
        <f ca="1" t="array" ref="O68">_xlfn.TEXTJOIN("",TRUE,CHAR(RANDBETWEEN(65,90+0*_xlfn.SEQUENCE(15))))</f>
        <v>BXCOCUBJXIJZWOH</v>
      </c>
      <c r="P68" s="16">
        <v>1</v>
      </c>
      <c r="Q68" s="2" t="s">
        <v>29</v>
      </c>
      <c r="R68" s="2" t="s">
        <v>30</v>
      </c>
      <c r="S68">
        <v>1</v>
      </c>
      <c r="T68">
        <v>1</v>
      </c>
      <c r="U68">
        <v>1</v>
      </c>
      <c r="V68">
        <v>1</v>
      </c>
      <c r="W68" t="s">
        <v>31</v>
      </c>
      <c r="X68" t="s">
        <v>31</v>
      </c>
      <c r="Y68" t="s">
        <v>31</v>
      </c>
      <c r="Z68" t="s">
        <v>31</v>
      </c>
      <c r="AA68" t="s">
        <v>31</v>
      </c>
    </row>
    <row r="69" ht="15.6" spans="1:27">
      <c r="A69">
        <v>68</v>
      </c>
      <c r="B69" s="8" t="s">
        <v>104</v>
      </c>
      <c r="C69" s="9">
        <v>1</v>
      </c>
      <c r="D69" s="9">
        <v>1</v>
      </c>
      <c r="E69" s="8" t="str" cm="1">
        <f ca="1" t="array" ref="E69">_xlfn.TEXTJOIN("",TRUE,CHAR(RANDBETWEEN(65,90+0*_xlfn.SEQUENCE(15))))</f>
        <v>VKHCYKDBSYYJSVQ</v>
      </c>
      <c r="F69" s="8">
        <f>2</f>
        <v>2</v>
      </c>
      <c r="G69">
        <v>26</v>
      </c>
      <c r="H69" s="10">
        <v>0</v>
      </c>
      <c r="I69" s="8" t="s">
        <v>33</v>
      </c>
      <c r="J69" s="13">
        <v>25</v>
      </c>
      <c r="K69" s="10">
        <v>0</v>
      </c>
      <c r="L69" s="10">
        <v>5</v>
      </c>
      <c r="M69" s="10">
        <v>1</v>
      </c>
      <c r="N69" s="14">
        <v>10000148</v>
      </c>
      <c r="O69" s="15" t="str" cm="1">
        <f ca="1" t="array" ref="O69">_xlfn.TEXTJOIN("",TRUE,CHAR(RANDBETWEEN(65,90+0*_xlfn.SEQUENCE(15))))</f>
        <v>UTCYOLJIAIBZOSH</v>
      </c>
      <c r="P69" s="16">
        <v>1</v>
      </c>
      <c r="Q69" s="2" t="s">
        <v>29</v>
      </c>
      <c r="R69" s="2" t="s">
        <v>30</v>
      </c>
      <c r="S69">
        <v>1</v>
      </c>
      <c r="T69">
        <v>1</v>
      </c>
      <c r="U69">
        <v>1</v>
      </c>
      <c r="V69">
        <v>1</v>
      </c>
      <c r="W69" t="s">
        <v>31</v>
      </c>
      <c r="X69" t="s">
        <v>31</v>
      </c>
      <c r="Y69" t="s">
        <v>31</v>
      </c>
      <c r="Z69" t="s">
        <v>31</v>
      </c>
      <c r="AA69" t="s">
        <v>31</v>
      </c>
    </row>
    <row r="70" ht="15.6" spans="1:27">
      <c r="A70">
        <v>69</v>
      </c>
      <c r="B70" s="8" t="s">
        <v>105</v>
      </c>
      <c r="C70" s="9">
        <v>1</v>
      </c>
      <c r="D70" s="9">
        <v>1</v>
      </c>
      <c r="E70" s="8" t="str" cm="1">
        <f ca="1" t="array" ref="E70">_xlfn.TEXTJOIN("",TRUE,CHAR(RANDBETWEEN(65,90+0*_xlfn.SEQUENCE(15))))</f>
        <v>VCQFUYGONDFRDHO</v>
      </c>
      <c r="F70" s="8">
        <f>2</f>
        <v>2</v>
      </c>
      <c r="G70">
        <v>26</v>
      </c>
      <c r="H70" s="10">
        <v>0</v>
      </c>
      <c r="I70" s="8" t="s">
        <v>47</v>
      </c>
      <c r="J70" s="13">
        <v>65</v>
      </c>
      <c r="K70" s="10">
        <v>0</v>
      </c>
      <c r="L70" s="10">
        <v>5</v>
      </c>
      <c r="M70" s="10">
        <v>1</v>
      </c>
      <c r="N70" s="14">
        <v>10000159</v>
      </c>
      <c r="O70" s="15" t="str" cm="1">
        <f ca="1" t="array" ref="O70">_xlfn.TEXTJOIN("",TRUE,CHAR(RANDBETWEEN(65,90+0*_xlfn.SEQUENCE(15))))</f>
        <v>AWAUTKLRQEERNBE</v>
      </c>
      <c r="P70" s="16">
        <v>1</v>
      </c>
      <c r="Q70" s="2" t="s">
        <v>29</v>
      </c>
      <c r="R70" s="2" t="s">
        <v>30</v>
      </c>
      <c r="S70">
        <v>1</v>
      </c>
      <c r="T70">
        <v>1</v>
      </c>
      <c r="U70">
        <v>1</v>
      </c>
      <c r="V70">
        <v>1</v>
      </c>
      <c r="W70" t="s">
        <v>31</v>
      </c>
      <c r="X70" t="s">
        <v>31</v>
      </c>
      <c r="Y70" t="s">
        <v>31</v>
      </c>
      <c r="Z70" t="s">
        <v>31</v>
      </c>
      <c r="AA70" t="s">
        <v>31</v>
      </c>
    </row>
    <row r="71" ht="15.6" spans="2:18">
      <c r="B71" s="8"/>
      <c r="C71" s="9"/>
      <c r="D71" s="9"/>
      <c r="E71" s="8"/>
      <c r="F71" s="8"/>
      <c r="H71" s="10"/>
      <c r="I71" s="8"/>
      <c r="J71" s="13"/>
      <c r="K71" s="10"/>
      <c r="L71" s="10"/>
      <c r="M71" s="10"/>
      <c r="N71" s="14"/>
      <c r="O71" s="15"/>
      <c r="P71" s="16"/>
      <c r="R71" s="2"/>
    </row>
    <row r="72" ht="15.6" spans="2:18">
      <c r="B72" s="8"/>
      <c r="C72" s="9"/>
      <c r="D72" s="9"/>
      <c r="E72" s="8"/>
      <c r="F72" s="8"/>
      <c r="H72" s="10"/>
      <c r="I72" s="8"/>
      <c r="J72" s="13"/>
      <c r="K72" s="10"/>
      <c r="L72" s="10"/>
      <c r="M72" s="10"/>
      <c r="N72" s="14"/>
      <c r="O72" s="15"/>
      <c r="P72" s="16"/>
      <c r="R72" s="2"/>
    </row>
    <row r="73" ht="15.6" spans="2:18">
      <c r="B73" s="8"/>
      <c r="C73" s="9"/>
      <c r="D73" s="9"/>
      <c r="E73" s="8"/>
      <c r="F73" s="8"/>
      <c r="H73" s="10"/>
      <c r="I73" s="8"/>
      <c r="J73" s="13"/>
      <c r="K73" s="10"/>
      <c r="L73" s="10"/>
      <c r="M73" s="10"/>
      <c r="N73" s="14"/>
      <c r="O73" s="15"/>
      <c r="P73" s="16"/>
      <c r="R73" s="2"/>
    </row>
    <row r="74" ht="15.6" spans="2:18">
      <c r="B74" s="8"/>
      <c r="C74" s="9"/>
      <c r="D74" s="9"/>
      <c r="E74" s="8"/>
      <c r="F74" s="8"/>
      <c r="H74" s="10"/>
      <c r="I74" s="8"/>
      <c r="J74" s="13"/>
      <c r="K74" s="10"/>
      <c r="L74" s="10"/>
      <c r="M74" s="10"/>
      <c r="N74" s="14"/>
      <c r="O74" s="15"/>
      <c r="P74" s="16"/>
      <c r="R74" s="2"/>
    </row>
    <row r="75" ht="15.6" spans="2:18">
      <c r="B75" s="8"/>
      <c r="C75" s="9"/>
      <c r="D75" s="9"/>
      <c r="E75" s="8"/>
      <c r="F75" s="8"/>
      <c r="H75" s="10"/>
      <c r="I75" s="8"/>
      <c r="J75" s="13"/>
      <c r="K75" s="10"/>
      <c r="L75" s="10"/>
      <c r="M75" s="10"/>
      <c r="N75" s="14"/>
      <c r="O75" s="15"/>
      <c r="P75" s="16"/>
      <c r="R75" s="2"/>
    </row>
    <row r="76" ht="15.6" spans="2:18">
      <c r="B76" s="8"/>
      <c r="C76" s="9"/>
      <c r="D76" s="9"/>
      <c r="E76" s="8"/>
      <c r="F76" s="8"/>
      <c r="H76" s="10"/>
      <c r="I76" s="8"/>
      <c r="J76" s="13"/>
      <c r="K76" s="10"/>
      <c r="L76" s="10"/>
      <c r="M76" s="10"/>
      <c r="N76" s="14"/>
      <c r="O76" s="15"/>
      <c r="P76" s="16"/>
      <c r="R76" s="2"/>
    </row>
    <row r="77" ht="15.6" spans="2:18">
      <c r="B77" s="8"/>
      <c r="C77" s="9"/>
      <c r="D77" s="9"/>
      <c r="E77" s="8"/>
      <c r="F77" s="8"/>
      <c r="H77" s="10"/>
      <c r="I77" s="8"/>
      <c r="J77" s="13"/>
      <c r="K77" s="10"/>
      <c r="L77" s="10"/>
      <c r="M77" s="10"/>
      <c r="N77" s="14"/>
      <c r="O77" s="15"/>
      <c r="P77" s="16"/>
      <c r="R77" s="2"/>
    </row>
    <row r="78" ht="15.6" spans="2:22">
      <c r="B78" s="8"/>
      <c r="C78" s="9"/>
      <c r="D78" s="9"/>
      <c r="E78" s="8"/>
      <c r="F78" s="8"/>
      <c r="H78" s="10"/>
      <c r="I78" s="8"/>
      <c r="J78" s="13"/>
      <c r="K78" s="10"/>
      <c r="L78" s="10"/>
      <c r="M78" s="10"/>
      <c r="N78" s="14"/>
      <c r="O78" s="15"/>
      <c r="P78" s="16"/>
      <c r="R78" s="2"/>
      <c r="S78" s="8"/>
      <c r="T78" s="8"/>
      <c r="U78" s="8"/>
      <c r="V78" s="8"/>
    </row>
    <row r="79" ht="15.6" spans="2:18">
      <c r="B79" s="8"/>
      <c r="C79" s="9"/>
      <c r="D79" s="9"/>
      <c r="E79" s="8"/>
      <c r="F79" s="8"/>
      <c r="H79" s="10"/>
      <c r="I79" s="8"/>
      <c r="J79" s="13"/>
      <c r="K79" s="10"/>
      <c r="L79" s="10"/>
      <c r="M79" s="10"/>
      <c r="N79" s="14"/>
      <c r="O79" s="15"/>
      <c r="P79" s="16"/>
      <c r="R79" s="2"/>
    </row>
    <row r="80" ht="15.6" spans="2:18">
      <c r="B80" s="8"/>
      <c r="C80" s="9"/>
      <c r="D80" s="9"/>
      <c r="E80" s="8"/>
      <c r="F80" s="8"/>
      <c r="H80" s="10"/>
      <c r="I80" s="8"/>
      <c r="J80" s="13"/>
      <c r="K80" s="10"/>
      <c r="L80" s="10"/>
      <c r="M80" s="10"/>
      <c r="N80" s="14"/>
      <c r="O80" s="15"/>
      <c r="P80" s="16"/>
      <c r="R80" s="2"/>
    </row>
    <row r="81" ht="15.6" spans="2:18">
      <c r="B81" s="8"/>
      <c r="C81" s="9"/>
      <c r="D81" s="9"/>
      <c r="E81" s="8"/>
      <c r="F81" s="8"/>
      <c r="H81" s="10"/>
      <c r="I81" s="8"/>
      <c r="J81" s="13"/>
      <c r="K81" s="10"/>
      <c r="L81" s="10"/>
      <c r="M81" s="10"/>
      <c r="N81" s="14"/>
      <c r="O81" s="15"/>
      <c r="P81" s="16"/>
      <c r="R81" s="2"/>
    </row>
    <row r="82" ht="15.6" spans="2:18">
      <c r="B82" s="8"/>
      <c r="C82" s="9"/>
      <c r="D82" s="9"/>
      <c r="E82" s="8"/>
      <c r="F82" s="8"/>
      <c r="H82" s="10"/>
      <c r="I82" s="8"/>
      <c r="J82" s="13"/>
      <c r="K82" s="10"/>
      <c r="L82" s="10"/>
      <c r="M82" s="10"/>
      <c r="N82" s="14"/>
      <c r="O82" s="15"/>
      <c r="P82" s="16"/>
      <c r="R82" s="2"/>
    </row>
    <row r="83" ht="15.6" spans="2:18">
      <c r="B83" s="8"/>
      <c r="C83" s="9"/>
      <c r="D83" s="9"/>
      <c r="E83" s="8"/>
      <c r="F83" s="8"/>
      <c r="H83" s="10"/>
      <c r="I83" s="8"/>
      <c r="J83" s="13"/>
      <c r="K83" s="10"/>
      <c r="L83" s="10"/>
      <c r="M83" s="10"/>
      <c r="N83" s="14"/>
      <c r="O83" s="15"/>
      <c r="P83" s="16"/>
      <c r="R83" s="2"/>
    </row>
    <row r="84" ht="15.6" spans="2:18">
      <c r="B84" s="8"/>
      <c r="C84" s="9"/>
      <c r="D84" s="9"/>
      <c r="E84" s="8"/>
      <c r="F84" s="8"/>
      <c r="H84" s="10"/>
      <c r="I84" s="8"/>
      <c r="J84" s="13"/>
      <c r="K84" s="10"/>
      <c r="L84" s="10"/>
      <c r="M84" s="10"/>
      <c r="N84" s="14"/>
      <c r="O84" s="15"/>
      <c r="P84" s="16"/>
      <c r="R84" s="2"/>
    </row>
    <row r="85" ht="15.6" spans="2:18">
      <c r="B85" s="8"/>
      <c r="C85" s="9"/>
      <c r="D85" s="9"/>
      <c r="E85" s="8"/>
      <c r="F85" s="8"/>
      <c r="H85" s="10"/>
      <c r="I85" s="8"/>
      <c r="J85" s="13"/>
      <c r="K85" s="10"/>
      <c r="L85" s="10"/>
      <c r="M85" s="10"/>
      <c r="N85" s="14"/>
      <c r="O85" s="15"/>
      <c r="P85" s="16"/>
      <c r="R85" s="2"/>
    </row>
    <row r="86" ht="15.6" spans="2:18">
      <c r="B86" s="8"/>
      <c r="C86" s="9"/>
      <c r="D86" s="9"/>
      <c r="E86" s="8"/>
      <c r="F86" s="8"/>
      <c r="H86" s="10"/>
      <c r="I86" s="8"/>
      <c r="J86" s="13"/>
      <c r="K86" s="10"/>
      <c r="L86" s="10"/>
      <c r="M86" s="10"/>
      <c r="N86" s="14"/>
      <c r="O86" s="15"/>
      <c r="P86" s="16"/>
      <c r="R86" s="2"/>
    </row>
    <row r="87" ht="15.6" spans="2:18">
      <c r="B87" s="8"/>
      <c r="C87" s="9"/>
      <c r="D87" s="9"/>
      <c r="E87" s="8"/>
      <c r="F87" s="8"/>
      <c r="H87" s="10"/>
      <c r="I87" s="8"/>
      <c r="J87" s="13"/>
      <c r="K87" s="10"/>
      <c r="L87" s="10"/>
      <c r="M87" s="10"/>
      <c r="N87" s="14"/>
      <c r="O87" s="15"/>
      <c r="P87" s="16"/>
      <c r="R87" s="2"/>
    </row>
    <row r="88" ht="15.6" spans="2:18">
      <c r="B88" s="8"/>
      <c r="C88" s="9"/>
      <c r="D88" s="9"/>
      <c r="E88" s="8"/>
      <c r="F88" s="8"/>
      <c r="H88" s="10"/>
      <c r="I88" s="8"/>
      <c r="J88" s="13"/>
      <c r="K88" s="10"/>
      <c r="L88" s="10"/>
      <c r="M88" s="10"/>
      <c r="N88" s="14"/>
      <c r="O88" s="15"/>
      <c r="P88" s="16"/>
      <c r="R88" s="2"/>
    </row>
    <row r="89" ht="15.6" spans="2:22">
      <c r="B89" s="8"/>
      <c r="C89" s="9"/>
      <c r="D89" s="9"/>
      <c r="E89" s="8"/>
      <c r="F89" s="8"/>
      <c r="H89" s="10"/>
      <c r="I89" s="8"/>
      <c r="J89" s="13"/>
      <c r="K89" s="10"/>
      <c r="L89" s="10"/>
      <c r="M89" s="10"/>
      <c r="N89" s="14"/>
      <c r="O89" s="15"/>
      <c r="P89" s="16"/>
      <c r="R89" s="2"/>
      <c r="S89" s="8"/>
      <c r="T89" s="8"/>
      <c r="U89" s="8"/>
      <c r="V89" s="8"/>
    </row>
    <row r="90" ht="15.6" spans="2:18">
      <c r="B90" s="8"/>
      <c r="C90" s="9"/>
      <c r="D90" s="9"/>
      <c r="E90" s="8"/>
      <c r="F90" s="8"/>
      <c r="H90" s="10"/>
      <c r="I90" s="8"/>
      <c r="J90" s="13"/>
      <c r="K90" s="10"/>
      <c r="L90" s="10"/>
      <c r="M90" s="10"/>
      <c r="N90" s="14"/>
      <c r="O90" s="15"/>
      <c r="P90" s="16"/>
      <c r="R90" s="2"/>
    </row>
    <row r="91" ht="15.6" spans="2:18">
      <c r="B91" s="8"/>
      <c r="C91" s="9"/>
      <c r="D91" s="9"/>
      <c r="E91" s="8"/>
      <c r="F91" s="8"/>
      <c r="H91" s="10"/>
      <c r="I91" s="8"/>
      <c r="J91" s="13"/>
      <c r="K91" s="10"/>
      <c r="L91" s="10"/>
      <c r="M91" s="10"/>
      <c r="N91" s="14"/>
      <c r="O91" s="15"/>
      <c r="P91" s="16"/>
      <c r="R91" s="2"/>
    </row>
    <row r="92" ht="15.6" spans="2:18">
      <c r="B92" s="8"/>
      <c r="C92" s="9"/>
      <c r="D92" s="9"/>
      <c r="E92" s="8"/>
      <c r="F92" s="8"/>
      <c r="H92" s="10"/>
      <c r="I92" s="8"/>
      <c r="J92" s="13"/>
      <c r="K92" s="10"/>
      <c r="L92" s="10"/>
      <c r="M92" s="10"/>
      <c r="N92" s="14"/>
      <c r="O92" s="15"/>
      <c r="P92" s="16"/>
      <c r="R92" s="2"/>
    </row>
    <row r="93" ht="15.6" spans="2:18">
      <c r="B93" s="8"/>
      <c r="C93" s="9"/>
      <c r="D93" s="9"/>
      <c r="E93" s="8"/>
      <c r="F93" s="8"/>
      <c r="H93" s="10"/>
      <c r="I93" s="8"/>
      <c r="J93" s="13"/>
      <c r="K93" s="10"/>
      <c r="L93" s="10"/>
      <c r="M93" s="10"/>
      <c r="N93" s="14"/>
      <c r="O93" s="15"/>
      <c r="P93" s="16"/>
      <c r="R93" s="2"/>
    </row>
    <row r="94" ht="15.6" spans="2:18">
      <c r="B94" s="8"/>
      <c r="C94" s="9"/>
      <c r="D94" s="9"/>
      <c r="E94" s="8"/>
      <c r="F94" s="8"/>
      <c r="H94" s="10"/>
      <c r="I94" s="8"/>
      <c r="J94" s="13"/>
      <c r="K94" s="10"/>
      <c r="L94" s="10"/>
      <c r="M94" s="10"/>
      <c r="N94" s="14"/>
      <c r="O94" s="15"/>
      <c r="P94" s="16"/>
      <c r="R94" s="2"/>
    </row>
    <row r="95" ht="15.6" spans="2:18">
      <c r="B95" s="8"/>
      <c r="C95" s="9"/>
      <c r="D95" s="9"/>
      <c r="E95" s="8"/>
      <c r="F95" s="8"/>
      <c r="H95" s="10"/>
      <c r="I95" s="8"/>
      <c r="J95" s="13"/>
      <c r="K95" s="10"/>
      <c r="L95" s="10"/>
      <c r="M95" s="10"/>
      <c r="N95" s="14"/>
      <c r="O95" s="15"/>
      <c r="P95" s="16"/>
      <c r="R95" s="2"/>
    </row>
    <row r="96" ht="15.6" spans="2:18">
      <c r="B96" s="8"/>
      <c r="C96" s="9"/>
      <c r="D96" s="9"/>
      <c r="E96" s="8"/>
      <c r="F96" s="8"/>
      <c r="H96" s="10"/>
      <c r="I96" s="8"/>
      <c r="J96" s="13"/>
      <c r="K96" s="10"/>
      <c r="L96" s="10"/>
      <c r="M96" s="10"/>
      <c r="N96" s="14"/>
      <c r="O96" s="15"/>
      <c r="P96" s="16"/>
      <c r="R96" s="2"/>
    </row>
    <row r="97" ht="15.6" spans="2:18">
      <c r="B97" s="8"/>
      <c r="C97" s="9"/>
      <c r="D97" s="9"/>
      <c r="E97" s="8"/>
      <c r="F97" s="8"/>
      <c r="H97" s="10"/>
      <c r="I97" s="8"/>
      <c r="J97" s="13"/>
      <c r="K97" s="10"/>
      <c r="L97" s="10"/>
      <c r="M97" s="10"/>
      <c r="N97" s="14"/>
      <c r="O97" s="15"/>
      <c r="P97" s="16"/>
      <c r="R97" s="2"/>
    </row>
    <row r="98" ht="15.6" spans="2:18">
      <c r="B98" s="8"/>
      <c r="C98" s="9"/>
      <c r="D98" s="9"/>
      <c r="E98" s="8"/>
      <c r="F98" s="8"/>
      <c r="H98" s="10"/>
      <c r="I98" s="8"/>
      <c r="J98" s="13"/>
      <c r="K98" s="10"/>
      <c r="L98" s="10"/>
      <c r="M98" s="10"/>
      <c r="N98" s="14"/>
      <c r="O98" s="15"/>
      <c r="P98" s="16"/>
      <c r="R98" s="2"/>
    </row>
    <row r="99" ht="15.6" spans="2:18">
      <c r="B99" s="8"/>
      <c r="C99" s="9"/>
      <c r="D99" s="9"/>
      <c r="E99" s="8"/>
      <c r="F99" s="8"/>
      <c r="H99" s="10"/>
      <c r="I99" s="8"/>
      <c r="J99" s="13"/>
      <c r="K99" s="10"/>
      <c r="L99" s="10"/>
      <c r="M99" s="10"/>
      <c r="N99" s="14"/>
      <c r="O99" s="15"/>
      <c r="P99" s="16"/>
      <c r="R99" s="2"/>
    </row>
    <row r="100" ht="15.6" spans="2:22">
      <c r="B100" s="8"/>
      <c r="C100" s="9"/>
      <c r="D100" s="9"/>
      <c r="E100" s="8"/>
      <c r="F100" s="8"/>
      <c r="H100" s="10"/>
      <c r="I100" s="8"/>
      <c r="J100" s="13"/>
      <c r="K100" s="10"/>
      <c r="L100" s="10"/>
      <c r="M100" s="10"/>
      <c r="N100" s="14"/>
      <c r="O100" s="15"/>
      <c r="P100" s="16"/>
      <c r="R100" s="2"/>
      <c r="S100" s="8"/>
      <c r="T100" s="8"/>
      <c r="U100" s="8"/>
      <c r="V100" s="8"/>
    </row>
    <row r="101" ht="15.6" spans="2:18">
      <c r="B101" s="8"/>
      <c r="C101" s="9"/>
      <c r="D101" s="9"/>
      <c r="E101" s="8"/>
      <c r="F101" s="8"/>
      <c r="H101" s="10"/>
      <c r="I101" s="8"/>
      <c r="J101" s="13"/>
      <c r="K101" s="10"/>
      <c r="L101" s="10"/>
      <c r="M101" s="10"/>
      <c r="N101" s="14"/>
      <c r="O101" s="15"/>
      <c r="P101" s="16"/>
      <c r="R101" s="2"/>
    </row>
    <row r="102" ht="15.6" spans="2:18">
      <c r="B102" s="8"/>
      <c r="C102" s="9"/>
      <c r="D102" s="9"/>
      <c r="E102" s="8"/>
      <c r="F102" s="8"/>
      <c r="H102" s="10"/>
      <c r="I102" s="8"/>
      <c r="J102" s="13"/>
      <c r="K102" s="10"/>
      <c r="L102" s="10"/>
      <c r="M102" s="10"/>
      <c r="N102" s="14"/>
      <c r="O102" s="15"/>
      <c r="P102" s="16"/>
      <c r="R102" s="2"/>
    </row>
    <row r="103" ht="15.6" spans="2:18">
      <c r="B103" s="8"/>
      <c r="C103" s="9"/>
      <c r="D103" s="9"/>
      <c r="E103" s="8"/>
      <c r="F103" s="8"/>
      <c r="H103" s="10"/>
      <c r="I103" s="8"/>
      <c r="J103" s="13"/>
      <c r="K103" s="10"/>
      <c r="L103" s="10"/>
      <c r="M103" s="10"/>
      <c r="N103" s="14"/>
      <c r="O103" s="15"/>
      <c r="P103" s="16"/>
      <c r="R103" s="2"/>
    </row>
    <row r="104" ht="15.6" spans="2:18">
      <c r="B104" s="8"/>
      <c r="C104" s="9"/>
      <c r="D104" s="9"/>
      <c r="E104" s="8"/>
      <c r="F104" s="8"/>
      <c r="H104" s="10"/>
      <c r="I104" s="8"/>
      <c r="J104" s="13"/>
      <c r="K104" s="10"/>
      <c r="L104" s="10"/>
      <c r="M104" s="10"/>
      <c r="N104" s="14"/>
      <c r="O104" s="15"/>
      <c r="P104" s="16"/>
      <c r="R104" s="2"/>
    </row>
    <row r="105" ht="15.6" spans="2:18">
      <c r="B105" s="8"/>
      <c r="C105" s="9"/>
      <c r="D105" s="9"/>
      <c r="E105" s="8"/>
      <c r="F105" s="8"/>
      <c r="H105" s="10"/>
      <c r="I105" s="8"/>
      <c r="J105" s="13"/>
      <c r="K105" s="10"/>
      <c r="L105" s="10"/>
      <c r="M105" s="10"/>
      <c r="N105" s="14"/>
      <c r="O105" s="15"/>
      <c r="P105" s="16"/>
      <c r="R105" s="2"/>
    </row>
    <row r="106" ht="15.6" spans="2:18">
      <c r="B106" s="8"/>
      <c r="C106" s="9"/>
      <c r="D106" s="9"/>
      <c r="E106" s="8"/>
      <c r="F106" s="8"/>
      <c r="H106" s="10"/>
      <c r="I106" s="8"/>
      <c r="J106" s="13"/>
      <c r="K106" s="10"/>
      <c r="L106" s="10"/>
      <c r="M106" s="10"/>
      <c r="N106" s="14"/>
      <c r="O106" s="15"/>
      <c r="P106" s="16"/>
      <c r="R106" s="2"/>
    </row>
    <row r="107" ht="15.6" spans="2:18">
      <c r="B107" s="8"/>
      <c r="C107" s="9"/>
      <c r="D107" s="9"/>
      <c r="E107" s="8"/>
      <c r="F107" s="8"/>
      <c r="H107" s="10"/>
      <c r="I107" s="8"/>
      <c r="J107" s="13"/>
      <c r="K107" s="10"/>
      <c r="L107" s="10"/>
      <c r="M107" s="10"/>
      <c r="N107" s="14"/>
      <c r="O107" s="15"/>
      <c r="P107" s="16"/>
      <c r="R107" s="2"/>
    </row>
    <row r="108" ht="15.6" spans="2:18">
      <c r="B108" s="8"/>
      <c r="C108" s="9"/>
      <c r="D108" s="9"/>
      <c r="E108" s="8"/>
      <c r="F108" s="8"/>
      <c r="H108" s="10"/>
      <c r="I108" s="8"/>
      <c r="J108" s="13"/>
      <c r="K108" s="10"/>
      <c r="L108" s="10"/>
      <c r="M108" s="10"/>
      <c r="N108" s="14"/>
      <c r="O108" s="15"/>
      <c r="P108" s="16"/>
      <c r="R108" s="2"/>
    </row>
    <row r="109" ht="15.6" spans="2:18">
      <c r="B109" s="8"/>
      <c r="C109" s="9"/>
      <c r="D109" s="9"/>
      <c r="E109" s="8"/>
      <c r="F109" s="8"/>
      <c r="H109" s="10"/>
      <c r="I109" s="8"/>
      <c r="J109" s="13"/>
      <c r="K109" s="10"/>
      <c r="L109" s="10"/>
      <c r="M109" s="10"/>
      <c r="N109" s="14"/>
      <c r="O109" s="15"/>
      <c r="P109" s="16"/>
      <c r="R109" s="2"/>
    </row>
    <row r="110" ht="15.6" spans="2:18">
      <c r="B110" s="8"/>
      <c r="C110" s="9"/>
      <c r="D110" s="9"/>
      <c r="E110" s="8"/>
      <c r="F110" s="8"/>
      <c r="H110" s="10"/>
      <c r="I110" s="8"/>
      <c r="J110" s="13"/>
      <c r="K110" s="10"/>
      <c r="L110" s="10"/>
      <c r="M110" s="10"/>
      <c r="N110" s="14"/>
      <c r="O110" s="15"/>
      <c r="P110" s="16"/>
      <c r="R110" s="2"/>
    </row>
    <row r="111" ht="15.6" spans="2:22">
      <c r="B111" s="8"/>
      <c r="C111" s="9"/>
      <c r="D111" s="9"/>
      <c r="E111" s="8"/>
      <c r="F111" s="8"/>
      <c r="H111" s="10"/>
      <c r="I111" s="8"/>
      <c r="J111" s="13"/>
      <c r="K111" s="10"/>
      <c r="L111" s="10"/>
      <c r="M111" s="10"/>
      <c r="N111" s="14"/>
      <c r="O111" s="15"/>
      <c r="P111" s="16"/>
      <c r="R111" s="2"/>
      <c r="S111" s="8"/>
      <c r="T111" s="8"/>
      <c r="U111" s="8"/>
      <c r="V111" s="8"/>
    </row>
    <row r="112" ht="15.6" spans="2:18">
      <c r="B112" s="8"/>
      <c r="C112" s="9"/>
      <c r="D112" s="9"/>
      <c r="E112" s="8"/>
      <c r="F112" s="8"/>
      <c r="H112" s="10"/>
      <c r="I112" s="8"/>
      <c r="J112" s="13"/>
      <c r="K112" s="10"/>
      <c r="L112" s="10"/>
      <c r="M112" s="10"/>
      <c r="N112" s="14"/>
      <c r="O112" s="15"/>
      <c r="P112" s="16"/>
      <c r="R112" s="2"/>
    </row>
    <row r="113" ht="15.6" spans="2:18">
      <c r="B113" s="8"/>
      <c r="C113" s="9"/>
      <c r="D113" s="9"/>
      <c r="E113" s="8"/>
      <c r="F113" s="8"/>
      <c r="H113" s="10"/>
      <c r="I113" s="8"/>
      <c r="J113" s="13"/>
      <c r="K113" s="10"/>
      <c r="L113" s="10"/>
      <c r="M113" s="10"/>
      <c r="N113" s="14"/>
      <c r="O113" s="15"/>
      <c r="P113" s="16"/>
      <c r="R113" s="2"/>
    </row>
    <row r="114" ht="15.6" spans="2:18">
      <c r="B114" s="8"/>
      <c r="C114" s="9"/>
      <c r="D114" s="9"/>
      <c r="E114" s="8"/>
      <c r="F114" s="8"/>
      <c r="H114" s="10"/>
      <c r="I114" s="8"/>
      <c r="J114" s="13"/>
      <c r="K114" s="10"/>
      <c r="L114" s="10"/>
      <c r="M114" s="10"/>
      <c r="N114" s="14"/>
      <c r="O114" s="15"/>
      <c r="P114" s="16"/>
      <c r="R114" s="2"/>
    </row>
    <row r="115" ht="15.6" spans="2:18">
      <c r="B115" s="8"/>
      <c r="C115" s="9"/>
      <c r="D115" s="9"/>
      <c r="E115" s="8"/>
      <c r="F115" s="8"/>
      <c r="H115" s="10"/>
      <c r="I115" s="8"/>
      <c r="J115" s="13"/>
      <c r="K115" s="10"/>
      <c r="L115" s="10"/>
      <c r="M115" s="10"/>
      <c r="N115" s="14"/>
      <c r="O115" s="15"/>
      <c r="P115" s="16"/>
      <c r="R115" s="2"/>
    </row>
    <row r="116" ht="15.6" spans="2:18">
      <c r="B116" s="8"/>
      <c r="C116" s="9"/>
      <c r="D116" s="9"/>
      <c r="E116" s="8"/>
      <c r="F116" s="8"/>
      <c r="H116" s="10"/>
      <c r="I116" s="8"/>
      <c r="J116" s="13"/>
      <c r="K116" s="10"/>
      <c r="L116" s="10"/>
      <c r="M116" s="10"/>
      <c r="N116" s="14"/>
      <c r="O116" s="15"/>
      <c r="P116" s="16"/>
      <c r="R116" s="2"/>
    </row>
    <row r="117" ht="15.6" spans="2:18">
      <c r="B117" s="8"/>
      <c r="C117" s="9"/>
      <c r="D117" s="9"/>
      <c r="E117" s="8"/>
      <c r="F117" s="8"/>
      <c r="H117" s="10"/>
      <c r="I117" s="8"/>
      <c r="J117" s="13"/>
      <c r="K117" s="10"/>
      <c r="L117" s="10"/>
      <c r="M117" s="10"/>
      <c r="N117" s="14"/>
      <c r="O117" s="15"/>
      <c r="P117" s="16"/>
      <c r="R117" s="2"/>
    </row>
    <row r="118" ht="15.6" spans="2:18">
      <c r="B118" s="8"/>
      <c r="C118" s="9"/>
      <c r="D118" s="9"/>
      <c r="E118" s="8"/>
      <c r="F118" s="8"/>
      <c r="H118" s="10"/>
      <c r="I118" s="8"/>
      <c r="J118" s="13"/>
      <c r="K118" s="10"/>
      <c r="L118" s="10"/>
      <c r="M118" s="10"/>
      <c r="N118" s="14"/>
      <c r="O118" s="15"/>
      <c r="P118" s="16"/>
      <c r="R118" s="2"/>
    </row>
    <row r="119" ht="15.6" spans="2:18">
      <c r="B119" s="8"/>
      <c r="C119" s="9"/>
      <c r="D119" s="9"/>
      <c r="E119" s="8"/>
      <c r="F119" s="8"/>
      <c r="H119" s="10"/>
      <c r="I119" s="8"/>
      <c r="J119" s="13"/>
      <c r="K119" s="10"/>
      <c r="L119" s="10"/>
      <c r="M119" s="10"/>
      <c r="N119" s="14"/>
      <c r="O119" s="15"/>
      <c r="P119" s="16"/>
      <c r="R119" s="2"/>
    </row>
    <row r="120" ht="15.6" spans="2:18">
      <c r="B120" s="8"/>
      <c r="C120" s="9"/>
      <c r="D120" s="9"/>
      <c r="E120" s="8"/>
      <c r="F120" s="8"/>
      <c r="H120" s="10"/>
      <c r="I120" s="8"/>
      <c r="J120" s="13"/>
      <c r="K120" s="10"/>
      <c r="L120" s="10"/>
      <c r="M120" s="10"/>
      <c r="N120" s="14"/>
      <c r="O120" s="15"/>
      <c r="P120" s="16"/>
      <c r="R120" s="2"/>
    </row>
    <row r="121" ht="15.6" spans="2:18">
      <c r="B121" s="8"/>
      <c r="C121" s="9"/>
      <c r="D121" s="9"/>
      <c r="E121" s="8"/>
      <c r="F121" s="8"/>
      <c r="H121" s="10"/>
      <c r="I121" s="8"/>
      <c r="J121" s="13"/>
      <c r="K121" s="10"/>
      <c r="L121" s="10"/>
      <c r="M121" s="10"/>
      <c r="N121" s="14"/>
      <c r="O121" s="15"/>
      <c r="P121" s="16"/>
      <c r="R121" s="2"/>
    </row>
    <row r="122" ht="15.6" spans="2:22">
      <c r="B122" s="8"/>
      <c r="C122" s="9"/>
      <c r="D122" s="9"/>
      <c r="E122" s="8"/>
      <c r="F122" s="8"/>
      <c r="H122" s="10"/>
      <c r="I122" s="8"/>
      <c r="J122" s="13"/>
      <c r="K122" s="10"/>
      <c r="L122" s="10"/>
      <c r="M122" s="10"/>
      <c r="N122" s="14"/>
      <c r="O122" s="15"/>
      <c r="P122" s="16"/>
      <c r="R122" s="2"/>
      <c r="S122" s="8"/>
      <c r="T122" s="8"/>
      <c r="U122" s="8"/>
      <c r="V122" s="8"/>
    </row>
    <row r="123" ht="15.6" spans="2:18">
      <c r="B123" s="8"/>
      <c r="C123" s="9"/>
      <c r="D123" s="9"/>
      <c r="E123" s="8"/>
      <c r="F123" s="8"/>
      <c r="H123" s="10"/>
      <c r="I123" s="8"/>
      <c r="J123" s="13"/>
      <c r="K123" s="10"/>
      <c r="L123" s="10"/>
      <c r="M123" s="10"/>
      <c r="N123" s="14"/>
      <c r="O123" s="15"/>
      <c r="P123" s="16"/>
      <c r="R123" s="2"/>
    </row>
    <row r="124" ht="15.6" spans="2:18">
      <c r="B124" s="8"/>
      <c r="C124" s="9"/>
      <c r="D124" s="9"/>
      <c r="E124" s="8"/>
      <c r="F124" s="8"/>
      <c r="H124" s="10"/>
      <c r="I124" s="8"/>
      <c r="J124" s="13"/>
      <c r="K124" s="10"/>
      <c r="L124" s="10"/>
      <c r="M124" s="10"/>
      <c r="N124" s="14"/>
      <c r="O124" s="15"/>
      <c r="P124" s="16"/>
      <c r="R124" s="2"/>
    </row>
    <row r="125" ht="15.6" spans="2:18">
      <c r="B125" s="8"/>
      <c r="C125" s="9"/>
      <c r="D125" s="9"/>
      <c r="E125" s="8"/>
      <c r="F125" s="8"/>
      <c r="H125" s="10"/>
      <c r="I125" s="8"/>
      <c r="J125" s="13"/>
      <c r="K125" s="10"/>
      <c r="L125" s="10"/>
      <c r="M125" s="10"/>
      <c r="N125" s="14"/>
      <c r="O125" s="15"/>
      <c r="P125" s="16"/>
      <c r="R125" s="2"/>
    </row>
    <row r="126" ht="15.6" spans="2:18">
      <c r="B126" s="8"/>
      <c r="C126" s="9"/>
      <c r="D126" s="9"/>
      <c r="E126" s="8"/>
      <c r="F126" s="8"/>
      <c r="H126" s="10"/>
      <c r="I126" s="8"/>
      <c r="J126" s="13"/>
      <c r="K126" s="10"/>
      <c r="L126" s="10"/>
      <c r="M126" s="10"/>
      <c r="N126" s="14"/>
      <c r="O126" s="15"/>
      <c r="P126" s="16"/>
      <c r="R126" s="2"/>
    </row>
    <row r="127" ht="15.6" spans="2:18">
      <c r="B127" s="8"/>
      <c r="C127" s="9"/>
      <c r="D127" s="9"/>
      <c r="E127" s="8"/>
      <c r="F127" s="8"/>
      <c r="H127" s="10"/>
      <c r="I127" s="8"/>
      <c r="J127" s="13"/>
      <c r="K127" s="10"/>
      <c r="L127" s="10"/>
      <c r="M127" s="10"/>
      <c r="N127" s="14"/>
      <c r="O127" s="15"/>
      <c r="P127" s="16"/>
      <c r="R127" s="2"/>
    </row>
    <row r="128" ht="15.6" spans="2:18">
      <c r="B128" s="8"/>
      <c r="C128" s="9"/>
      <c r="D128" s="9"/>
      <c r="E128" s="8"/>
      <c r="F128" s="8"/>
      <c r="H128" s="10"/>
      <c r="I128" s="8"/>
      <c r="J128" s="13"/>
      <c r="K128" s="10"/>
      <c r="L128" s="10"/>
      <c r="M128" s="10"/>
      <c r="N128" s="14"/>
      <c r="O128" s="15"/>
      <c r="P128" s="16"/>
      <c r="R128" s="2"/>
    </row>
    <row r="129" ht="15.6" spans="2:18">
      <c r="B129" s="8"/>
      <c r="C129" s="9"/>
      <c r="D129" s="9"/>
      <c r="E129" s="8"/>
      <c r="F129" s="8"/>
      <c r="H129" s="10"/>
      <c r="I129" s="8"/>
      <c r="J129" s="13"/>
      <c r="K129" s="10"/>
      <c r="L129" s="10"/>
      <c r="M129" s="10"/>
      <c r="N129" s="14"/>
      <c r="O129" s="15"/>
      <c r="P129" s="16"/>
      <c r="R129" s="2"/>
    </row>
    <row r="130" ht="15.6" spans="2:18">
      <c r="B130" s="8"/>
      <c r="C130" s="9"/>
      <c r="D130" s="9"/>
      <c r="E130" s="8"/>
      <c r="F130" s="8"/>
      <c r="H130" s="10"/>
      <c r="I130" s="8"/>
      <c r="J130" s="13"/>
      <c r="K130" s="10"/>
      <c r="L130" s="10"/>
      <c r="M130" s="10"/>
      <c r="N130" s="14"/>
      <c r="O130" s="15"/>
      <c r="P130" s="16"/>
      <c r="R130" s="2"/>
    </row>
    <row r="131" ht="15.6" spans="2:18">
      <c r="B131" s="8"/>
      <c r="C131" s="9"/>
      <c r="D131" s="9"/>
      <c r="E131" s="8"/>
      <c r="F131" s="8"/>
      <c r="H131" s="10"/>
      <c r="I131" s="8"/>
      <c r="J131" s="13"/>
      <c r="K131" s="10"/>
      <c r="L131" s="10"/>
      <c r="M131" s="10"/>
      <c r="N131" s="14"/>
      <c r="O131" s="15"/>
      <c r="P131" s="16"/>
      <c r="R131" s="2"/>
    </row>
    <row r="132" ht="15.6" spans="2:18">
      <c r="B132" s="8"/>
      <c r="C132" s="9"/>
      <c r="D132" s="9"/>
      <c r="E132" s="8"/>
      <c r="F132" s="8"/>
      <c r="H132" s="10"/>
      <c r="I132" s="8"/>
      <c r="J132" s="13"/>
      <c r="K132" s="10"/>
      <c r="L132" s="10"/>
      <c r="M132" s="10"/>
      <c r="N132" s="14"/>
      <c r="O132" s="15"/>
      <c r="P132" s="16"/>
      <c r="R132" s="2"/>
    </row>
    <row r="133" ht="15.6" spans="2:22">
      <c r="B133" s="8"/>
      <c r="C133" s="9"/>
      <c r="D133" s="9"/>
      <c r="E133" s="8"/>
      <c r="F133" s="8"/>
      <c r="H133" s="10"/>
      <c r="I133" s="8"/>
      <c r="J133" s="13"/>
      <c r="K133" s="10"/>
      <c r="L133" s="10"/>
      <c r="M133" s="10"/>
      <c r="N133" s="14"/>
      <c r="O133" s="15"/>
      <c r="P133" s="16"/>
      <c r="R133" s="2"/>
      <c r="S133" s="8"/>
      <c r="T133" s="8"/>
      <c r="U133" s="8"/>
      <c r="V133" s="8"/>
    </row>
    <row r="134" ht="15.6" spans="2:18">
      <c r="B134" s="8"/>
      <c r="C134" s="9"/>
      <c r="D134" s="9"/>
      <c r="E134" s="8"/>
      <c r="F134" s="8"/>
      <c r="H134" s="10"/>
      <c r="I134" s="8"/>
      <c r="J134" s="13"/>
      <c r="K134" s="10"/>
      <c r="L134" s="10"/>
      <c r="M134" s="10"/>
      <c r="N134" s="14"/>
      <c r="O134" s="15"/>
      <c r="P134" s="16"/>
      <c r="R134" s="2"/>
    </row>
    <row r="135" ht="15.6" spans="2:18">
      <c r="B135" s="8"/>
      <c r="C135" s="9"/>
      <c r="D135" s="9"/>
      <c r="E135" s="8"/>
      <c r="F135" s="8"/>
      <c r="H135" s="10"/>
      <c r="I135" s="8"/>
      <c r="J135" s="13"/>
      <c r="K135" s="10"/>
      <c r="L135" s="10"/>
      <c r="M135" s="10"/>
      <c r="N135" s="14"/>
      <c r="O135" s="15"/>
      <c r="P135" s="16"/>
      <c r="R135" s="2"/>
    </row>
    <row r="136" ht="15.6" spans="2:18">
      <c r="B136" s="8"/>
      <c r="C136" s="9"/>
      <c r="D136" s="9"/>
      <c r="E136" s="8"/>
      <c r="F136" s="8"/>
      <c r="H136" s="10"/>
      <c r="I136" s="8"/>
      <c r="J136" s="13"/>
      <c r="K136" s="10"/>
      <c r="L136" s="10"/>
      <c r="M136" s="10"/>
      <c r="N136" s="14"/>
      <c r="O136" s="15"/>
      <c r="P136" s="16"/>
      <c r="R136" s="2"/>
    </row>
    <row r="137" ht="15.6" spans="2:18">
      <c r="B137" s="8"/>
      <c r="C137" s="9"/>
      <c r="D137" s="9"/>
      <c r="E137" s="8"/>
      <c r="F137" s="8"/>
      <c r="H137" s="10"/>
      <c r="I137" s="8"/>
      <c r="J137" s="13"/>
      <c r="K137" s="10"/>
      <c r="L137" s="10"/>
      <c r="M137" s="10"/>
      <c r="N137" s="14"/>
      <c r="O137" s="15"/>
      <c r="P137" s="16"/>
      <c r="R137" s="2"/>
    </row>
    <row r="138" ht="15.6" spans="2:18">
      <c r="B138" s="8"/>
      <c r="C138" s="9"/>
      <c r="D138" s="9"/>
      <c r="E138" s="8"/>
      <c r="F138" s="8"/>
      <c r="H138" s="10"/>
      <c r="I138" s="8"/>
      <c r="J138" s="13"/>
      <c r="K138" s="10"/>
      <c r="L138" s="10"/>
      <c r="M138" s="10"/>
      <c r="N138" s="14"/>
      <c r="O138" s="15"/>
      <c r="P138" s="16"/>
      <c r="R138" s="2"/>
    </row>
    <row r="139" ht="15.6" spans="2:18">
      <c r="B139" s="8"/>
      <c r="C139" s="9"/>
      <c r="D139" s="9"/>
      <c r="E139" s="8"/>
      <c r="F139" s="8"/>
      <c r="H139" s="10"/>
      <c r="I139" s="8"/>
      <c r="J139" s="13"/>
      <c r="K139" s="10"/>
      <c r="L139" s="10"/>
      <c r="M139" s="10"/>
      <c r="N139" s="14"/>
      <c r="O139" s="15"/>
      <c r="P139" s="16"/>
      <c r="R139" s="2"/>
    </row>
    <row r="140" ht="15.6" spans="2:18">
      <c r="B140" s="8"/>
      <c r="C140" s="9"/>
      <c r="D140" s="9"/>
      <c r="E140" s="8"/>
      <c r="F140" s="8"/>
      <c r="H140" s="10"/>
      <c r="I140" s="8"/>
      <c r="J140" s="13"/>
      <c r="K140" s="10"/>
      <c r="L140" s="10"/>
      <c r="M140" s="10"/>
      <c r="N140" s="14"/>
      <c r="O140" s="15"/>
      <c r="P140" s="16"/>
      <c r="R140" s="2"/>
    </row>
    <row r="141" ht="15.6" spans="2:18">
      <c r="B141" s="8"/>
      <c r="C141" s="9"/>
      <c r="D141" s="9"/>
      <c r="E141" s="8"/>
      <c r="F141" s="8"/>
      <c r="H141" s="10"/>
      <c r="I141" s="8"/>
      <c r="J141" s="13"/>
      <c r="K141" s="10"/>
      <c r="L141" s="10"/>
      <c r="M141" s="10"/>
      <c r="N141" s="14"/>
      <c r="O141" s="15"/>
      <c r="P141" s="16"/>
      <c r="R141" s="2"/>
    </row>
    <row r="142" ht="15.6" spans="2:18">
      <c r="B142" s="8"/>
      <c r="C142" s="9"/>
      <c r="D142" s="9"/>
      <c r="E142" s="8"/>
      <c r="F142" s="8"/>
      <c r="H142" s="10"/>
      <c r="I142" s="8"/>
      <c r="J142" s="13"/>
      <c r="K142" s="10"/>
      <c r="L142" s="10"/>
      <c r="M142" s="10"/>
      <c r="N142" s="14"/>
      <c r="O142" s="15"/>
      <c r="P142" s="16"/>
      <c r="R142" s="2"/>
    </row>
    <row r="143" ht="15.6" spans="2:18">
      <c r="B143" s="8"/>
      <c r="C143" s="9"/>
      <c r="D143" s="9"/>
      <c r="E143" s="8"/>
      <c r="F143" s="8"/>
      <c r="H143" s="10"/>
      <c r="I143" s="8"/>
      <c r="J143" s="13"/>
      <c r="K143" s="10"/>
      <c r="L143" s="10"/>
      <c r="M143" s="10"/>
      <c r="N143" s="14"/>
      <c r="O143" s="15"/>
      <c r="P143" s="16"/>
      <c r="R143" s="2"/>
    </row>
    <row r="144" ht="15.6" spans="2:22">
      <c r="B144" s="8"/>
      <c r="C144" s="9"/>
      <c r="D144" s="9"/>
      <c r="E144" s="8"/>
      <c r="F144" s="8"/>
      <c r="H144" s="10"/>
      <c r="I144" s="8"/>
      <c r="J144" s="13"/>
      <c r="K144" s="10"/>
      <c r="L144" s="10"/>
      <c r="M144" s="10"/>
      <c r="N144" s="14"/>
      <c r="O144" s="15"/>
      <c r="P144" s="16"/>
      <c r="R144" s="2"/>
      <c r="S144" s="8"/>
      <c r="T144" s="8"/>
      <c r="U144" s="8"/>
      <c r="V144" s="8"/>
    </row>
    <row r="145" ht="15.6" spans="2:18">
      <c r="B145" s="8"/>
      <c r="C145" s="9"/>
      <c r="D145" s="9"/>
      <c r="E145" s="8"/>
      <c r="F145" s="8"/>
      <c r="H145" s="10"/>
      <c r="I145" s="8"/>
      <c r="J145" s="13"/>
      <c r="K145" s="10"/>
      <c r="L145" s="10"/>
      <c r="M145" s="10"/>
      <c r="N145" s="14"/>
      <c r="O145" s="15"/>
      <c r="P145" s="16"/>
      <c r="R145" s="2"/>
    </row>
    <row r="146" ht="15.6" spans="2:18">
      <c r="B146" s="8"/>
      <c r="C146" s="9"/>
      <c r="D146" s="9"/>
      <c r="E146" s="8"/>
      <c r="F146" s="8"/>
      <c r="H146" s="10"/>
      <c r="I146" s="8"/>
      <c r="J146" s="13"/>
      <c r="K146" s="10"/>
      <c r="L146" s="10"/>
      <c r="M146" s="10"/>
      <c r="N146" s="14"/>
      <c r="O146" s="15"/>
      <c r="P146" s="16"/>
      <c r="R146" s="2"/>
    </row>
    <row r="147" ht="15.6" spans="2:18">
      <c r="B147" s="8"/>
      <c r="C147" s="9"/>
      <c r="D147" s="9"/>
      <c r="E147" s="8"/>
      <c r="F147" s="8"/>
      <c r="H147" s="10"/>
      <c r="I147" s="8"/>
      <c r="J147" s="13"/>
      <c r="K147" s="10"/>
      <c r="L147" s="10"/>
      <c r="M147" s="10"/>
      <c r="N147" s="14"/>
      <c r="O147" s="15"/>
      <c r="P147" s="16"/>
      <c r="R147" s="2"/>
    </row>
    <row r="148" ht="15.6" spans="2:18">
      <c r="B148" s="8"/>
      <c r="C148" s="9"/>
      <c r="D148" s="9"/>
      <c r="E148" s="8"/>
      <c r="F148" s="8"/>
      <c r="H148" s="10"/>
      <c r="I148" s="8"/>
      <c r="J148" s="13"/>
      <c r="K148" s="10"/>
      <c r="L148" s="10"/>
      <c r="M148" s="10"/>
      <c r="N148" s="14"/>
      <c r="O148" s="15"/>
      <c r="P148" s="16"/>
      <c r="R148" s="2"/>
    </row>
    <row r="149" ht="15.6" spans="2:18">
      <c r="B149" s="8"/>
      <c r="C149" s="9"/>
      <c r="D149" s="9"/>
      <c r="E149" s="8"/>
      <c r="F149" s="8"/>
      <c r="H149" s="10"/>
      <c r="I149" s="8"/>
      <c r="J149" s="13"/>
      <c r="K149" s="10"/>
      <c r="L149" s="10"/>
      <c r="M149" s="10"/>
      <c r="N149" s="14"/>
      <c r="O149" s="15"/>
      <c r="P149" s="16"/>
      <c r="R149" s="2"/>
    </row>
    <row r="150" ht="15.6" spans="2:18">
      <c r="B150" s="8"/>
      <c r="C150" s="9"/>
      <c r="D150" s="9"/>
      <c r="E150" s="8"/>
      <c r="F150" s="8"/>
      <c r="H150" s="10"/>
      <c r="I150" s="8"/>
      <c r="J150" s="13"/>
      <c r="K150" s="10"/>
      <c r="L150" s="10"/>
      <c r="M150" s="10"/>
      <c r="N150" s="14"/>
      <c r="O150" s="15"/>
      <c r="P150" s="16"/>
      <c r="R150" s="2"/>
    </row>
    <row r="151" ht="15.6" spans="2:18">
      <c r="B151" s="8"/>
      <c r="C151" s="9"/>
      <c r="D151" s="9"/>
      <c r="E151" s="8"/>
      <c r="F151" s="8"/>
      <c r="H151" s="10"/>
      <c r="I151" s="8"/>
      <c r="J151" s="13"/>
      <c r="K151" s="10"/>
      <c r="L151" s="10"/>
      <c r="M151" s="10"/>
      <c r="N151" s="14"/>
      <c r="O151" s="15"/>
      <c r="P151" s="16"/>
      <c r="R151" s="2"/>
    </row>
    <row r="152" ht="15.6" spans="2:18">
      <c r="B152" s="8"/>
      <c r="C152" s="9"/>
      <c r="D152" s="9"/>
      <c r="E152" s="8"/>
      <c r="F152" s="8"/>
      <c r="H152" s="10"/>
      <c r="I152" s="8"/>
      <c r="J152" s="13"/>
      <c r="K152" s="10"/>
      <c r="L152" s="10"/>
      <c r="M152" s="10"/>
      <c r="N152" s="14"/>
      <c r="O152" s="15"/>
      <c r="P152" s="16"/>
      <c r="R152" s="2"/>
    </row>
    <row r="153" ht="15.6" spans="2:18">
      <c r="B153" s="8"/>
      <c r="C153" s="9"/>
      <c r="D153" s="9"/>
      <c r="E153" s="8"/>
      <c r="F153" s="8"/>
      <c r="H153" s="10"/>
      <c r="I153" s="8"/>
      <c r="J153" s="13"/>
      <c r="K153" s="10"/>
      <c r="L153" s="10"/>
      <c r="M153" s="10"/>
      <c r="N153" s="14"/>
      <c r="O153" s="15"/>
      <c r="P153" s="16"/>
      <c r="R153" s="2"/>
    </row>
    <row r="154" ht="15.6" spans="2:18">
      <c r="B154" s="8"/>
      <c r="C154" s="9"/>
      <c r="D154" s="9"/>
      <c r="E154" s="8"/>
      <c r="F154" s="8"/>
      <c r="H154" s="10"/>
      <c r="I154" s="8"/>
      <c r="J154" s="13"/>
      <c r="K154" s="10"/>
      <c r="L154" s="10"/>
      <c r="M154" s="10"/>
      <c r="N154" s="14"/>
      <c r="O154" s="15"/>
      <c r="P154" s="16"/>
      <c r="R154" s="2"/>
    </row>
    <row r="155" ht="15.6" spans="2:22">
      <c r="B155" s="8"/>
      <c r="C155" s="9"/>
      <c r="D155" s="9"/>
      <c r="E155" s="8"/>
      <c r="F155" s="8"/>
      <c r="H155" s="10"/>
      <c r="I155" s="8"/>
      <c r="J155" s="13"/>
      <c r="K155" s="10"/>
      <c r="L155" s="10"/>
      <c r="M155" s="10"/>
      <c r="N155" s="14"/>
      <c r="O155" s="15"/>
      <c r="P155" s="16"/>
      <c r="R155" s="2"/>
      <c r="S155" s="8"/>
      <c r="T155" s="8"/>
      <c r="U155" s="8"/>
      <c r="V155" s="8"/>
    </row>
    <row r="156" ht="15.6" spans="2:18">
      <c r="B156" s="8"/>
      <c r="C156" s="9"/>
      <c r="D156" s="9"/>
      <c r="E156" s="8"/>
      <c r="F156" s="8"/>
      <c r="H156" s="10"/>
      <c r="I156" s="8"/>
      <c r="J156" s="13"/>
      <c r="K156" s="10"/>
      <c r="L156" s="10"/>
      <c r="M156" s="10"/>
      <c r="N156" s="14"/>
      <c r="O156" s="15"/>
      <c r="P156" s="16"/>
      <c r="R156" s="2"/>
    </row>
    <row r="157" ht="15.6" spans="2:18">
      <c r="B157" s="8"/>
      <c r="C157" s="9"/>
      <c r="D157" s="9"/>
      <c r="E157" s="8"/>
      <c r="F157" s="8"/>
      <c r="H157" s="10"/>
      <c r="I157" s="8"/>
      <c r="J157" s="13"/>
      <c r="K157" s="10"/>
      <c r="L157" s="10"/>
      <c r="M157" s="10"/>
      <c r="N157" s="14"/>
      <c r="O157" s="15"/>
      <c r="P157" s="16"/>
      <c r="R157" s="2"/>
    </row>
    <row r="158" ht="15.6" spans="2:18">
      <c r="B158" s="8"/>
      <c r="C158" s="9"/>
      <c r="D158" s="9"/>
      <c r="E158" s="8"/>
      <c r="F158" s="8"/>
      <c r="H158" s="10"/>
      <c r="I158" s="8"/>
      <c r="J158" s="13"/>
      <c r="K158" s="10"/>
      <c r="L158" s="10"/>
      <c r="M158" s="10"/>
      <c r="N158" s="14"/>
      <c r="O158" s="15"/>
      <c r="P158" s="16"/>
      <c r="R158" s="2"/>
    </row>
    <row r="159" ht="15.6" spans="2:18">
      <c r="B159" s="8"/>
      <c r="C159" s="9"/>
      <c r="D159" s="9"/>
      <c r="E159" s="8"/>
      <c r="F159" s="8"/>
      <c r="H159" s="10"/>
      <c r="I159" s="8"/>
      <c r="J159" s="13"/>
      <c r="K159" s="10"/>
      <c r="L159" s="10"/>
      <c r="M159" s="10"/>
      <c r="N159" s="14"/>
      <c r="O159" s="15"/>
      <c r="P159" s="16"/>
      <c r="R159" s="2"/>
    </row>
    <row r="160" ht="15.6" spans="2:18">
      <c r="B160" s="8"/>
      <c r="C160" s="9"/>
      <c r="D160" s="9"/>
      <c r="E160" s="8"/>
      <c r="F160" s="8"/>
      <c r="H160" s="10"/>
      <c r="I160" s="8"/>
      <c r="J160" s="13"/>
      <c r="K160" s="10"/>
      <c r="L160" s="10"/>
      <c r="M160" s="10"/>
      <c r="N160" s="14"/>
      <c r="O160" s="15"/>
      <c r="P160" s="16"/>
      <c r="R160" s="2"/>
    </row>
    <row r="161" ht="15.6" spans="2:18">
      <c r="B161" s="8"/>
      <c r="C161" s="9"/>
      <c r="D161" s="9"/>
      <c r="E161" s="8"/>
      <c r="F161" s="8"/>
      <c r="H161" s="10"/>
      <c r="I161" s="8"/>
      <c r="J161" s="13"/>
      <c r="K161" s="10"/>
      <c r="L161" s="10"/>
      <c r="M161" s="10"/>
      <c r="N161" s="14"/>
      <c r="O161" s="15"/>
      <c r="P161" s="16"/>
      <c r="R161" s="2"/>
    </row>
    <row r="162" ht="15.6" spans="2:18">
      <c r="B162" s="8"/>
      <c r="C162" s="9"/>
      <c r="D162" s="9"/>
      <c r="E162" s="8"/>
      <c r="F162" s="8"/>
      <c r="H162" s="10"/>
      <c r="I162" s="8"/>
      <c r="J162" s="13"/>
      <c r="K162" s="10"/>
      <c r="L162" s="10"/>
      <c r="M162" s="10"/>
      <c r="N162" s="14"/>
      <c r="O162" s="15"/>
      <c r="P162" s="16"/>
      <c r="R162" s="2"/>
    </row>
    <row r="163" ht="15.6" spans="2:18">
      <c r="B163" s="8"/>
      <c r="C163" s="9"/>
      <c r="D163" s="9"/>
      <c r="E163" s="8"/>
      <c r="F163" s="8"/>
      <c r="H163" s="10"/>
      <c r="I163" s="8"/>
      <c r="J163" s="13"/>
      <c r="K163" s="10"/>
      <c r="L163" s="10"/>
      <c r="M163" s="10"/>
      <c r="N163" s="14"/>
      <c r="O163" s="15"/>
      <c r="P163" s="16"/>
      <c r="R163" s="2"/>
    </row>
    <row r="164" ht="15.6" spans="2:18">
      <c r="B164" s="8"/>
      <c r="C164" s="9"/>
      <c r="D164" s="9"/>
      <c r="E164" s="8"/>
      <c r="F164" s="8"/>
      <c r="H164" s="10"/>
      <c r="I164" s="8"/>
      <c r="J164" s="13"/>
      <c r="K164" s="10"/>
      <c r="L164" s="10"/>
      <c r="M164" s="10"/>
      <c r="N164" s="14"/>
      <c r="O164" s="15"/>
      <c r="P164" s="16"/>
      <c r="R164" s="2"/>
    </row>
    <row r="165" ht="15.6" spans="2:18">
      <c r="B165" s="8"/>
      <c r="C165" s="9"/>
      <c r="D165" s="9"/>
      <c r="E165" s="8"/>
      <c r="F165" s="8"/>
      <c r="H165" s="10"/>
      <c r="I165" s="8"/>
      <c r="J165" s="13"/>
      <c r="K165" s="10"/>
      <c r="L165" s="10"/>
      <c r="M165" s="10"/>
      <c r="N165" s="14"/>
      <c r="O165" s="15"/>
      <c r="P165" s="16"/>
      <c r="R165" s="2"/>
    </row>
    <row r="166" ht="15.6" spans="2:22">
      <c r="B166" s="8"/>
      <c r="C166" s="9"/>
      <c r="D166" s="9"/>
      <c r="E166" s="8"/>
      <c r="F166" s="8"/>
      <c r="H166" s="10"/>
      <c r="I166" s="8"/>
      <c r="J166" s="13"/>
      <c r="K166" s="10"/>
      <c r="L166" s="10"/>
      <c r="M166" s="10"/>
      <c r="N166" s="14"/>
      <c r="O166" s="15"/>
      <c r="P166" s="16"/>
      <c r="R166" s="2"/>
      <c r="S166" s="8"/>
      <c r="T166" s="8"/>
      <c r="U166" s="8"/>
      <c r="V166" s="8"/>
    </row>
    <row r="167" ht="15.6" spans="2:18">
      <c r="B167" s="8"/>
      <c r="C167" s="9"/>
      <c r="D167" s="9"/>
      <c r="E167" s="8"/>
      <c r="F167" s="8"/>
      <c r="H167" s="10"/>
      <c r="I167" s="8"/>
      <c r="J167" s="13"/>
      <c r="K167" s="10"/>
      <c r="L167" s="10"/>
      <c r="M167" s="10"/>
      <c r="N167" s="14"/>
      <c r="O167" s="15"/>
      <c r="P167" s="16"/>
      <c r="R167" s="2"/>
    </row>
    <row r="168" ht="15.6" spans="2:18">
      <c r="B168" s="8"/>
      <c r="C168" s="9"/>
      <c r="D168" s="9"/>
      <c r="E168" s="8"/>
      <c r="F168" s="8"/>
      <c r="H168" s="10"/>
      <c r="I168" s="8"/>
      <c r="J168" s="13"/>
      <c r="K168" s="10"/>
      <c r="L168" s="10"/>
      <c r="M168" s="10"/>
      <c r="N168" s="14"/>
      <c r="O168" s="15"/>
      <c r="P168" s="16"/>
      <c r="R168" s="2"/>
    </row>
    <row r="169" ht="15.6" spans="2:18">
      <c r="B169" s="8"/>
      <c r="C169" s="9"/>
      <c r="D169" s="9"/>
      <c r="E169" s="8"/>
      <c r="F169" s="8"/>
      <c r="H169" s="10"/>
      <c r="I169" s="8"/>
      <c r="J169" s="13"/>
      <c r="K169" s="10"/>
      <c r="L169" s="10"/>
      <c r="M169" s="10"/>
      <c r="N169" s="14"/>
      <c r="O169" s="15"/>
      <c r="P169" s="16"/>
      <c r="R169" s="2"/>
    </row>
    <row r="170" ht="15.6" spans="2:18">
      <c r="B170" s="8"/>
      <c r="C170" s="9"/>
      <c r="D170" s="9"/>
      <c r="E170" s="8"/>
      <c r="F170" s="8"/>
      <c r="H170" s="10"/>
      <c r="I170" s="8"/>
      <c r="J170" s="13"/>
      <c r="K170" s="10"/>
      <c r="L170" s="10"/>
      <c r="M170" s="10"/>
      <c r="N170" s="14"/>
      <c r="O170" s="15"/>
      <c r="P170" s="16"/>
      <c r="R170" s="2"/>
    </row>
    <row r="171" ht="15.6" spans="2:18">
      <c r="B171" s="8"/>
      <c r="C171" s="9"/>
      <c r="D171" s="9"/>
      <c r="E171" s="8"/>
      <c r="F171" s="8"/>
      <c r="H171" s="10"/>
      <c r="I171" s="8"/>
      <c r="J171" s="13"/>
      <c r="K171" s="10"/>
      <c r="L171" s="10"/>
      <c r="M171" s="10"/>
      <c r="N171" s="14"/>
      <c r="O171" s="15"/>
      <c r="P171" s="16"/>
      <c r="R171" s="2"/>
    </row>
    <row r="172" ht="15.6" spans="2:18">
      <c r="B172" s="8"/>
      <c r="C172" s="9"/>
      <c r="D172" s="9"/>
      <c r="E172" s="8"/>
      <c r="F172" s="8"/>
      <c r="H172" s="10"/>
      <c r="I172" s="8"/>
      <c r="J172" s="13"/>
      <c r="K172" s="10"/>
      <c r="L172" s="10"/>
      <c r="M172" s="10"/>
      <c r="N172" s="14"/>
      <c r="O172" s="15"/>
      <c r="P172" s="16"/>
      <c r="R172" s="2"/>
    </row>
    <row r="173" ht="15.6" spans="2:18">
      <c r="B173" s="8"/>
      <c r="C173" s="9"/>
      <c r="D173" s="9"/>
      <c r="E173" s="8"/>
      <c r="F173" s="8"/>
      <c r="H173" s="10"/>
      <c r="I173" s="8"/>
      <c r="J173" s="13"/>
      <c r="K173" s="10"/>
      <c r="L173" s="10"/>
      <c r="M173" s="10"/>
      <c r="N173" s="14"/>
      <c r="O173" s="15"/>
      <c r="P173" s="16"/>
      <c r="R173" s="2"/>
    </row>
    <row r="174" ht="15.6" spans="2:18">
      <c r="B174" s="8"/>
      <c r="C174" s="9"/>
      <c r="D174" s="9"/>
      <c r="E174" s="8"/>
      <c r="F174" s="8"/>
      <c r="H174" s="10"/>
      <c r="I174" s="8"/>
      <c r="J174" s="13"/>
      <c r="K174" s="10"/>
      <c r="L174" s="10"/>
      <c r="M174" s="10"/>
      <c r="N174" s="14"/>
      <c r="O174" s="15"/>
      <c r="P174" s="16"/>
      <c r="R174" s="2"/>
    </row>
    <row r="175" ht="15.6" spans="2:18">
      <c r="B175" s="8"/>
      <c r="C175" s="9"/>
      <c r="D175" s="9"/>
      <c r="E175" s="8"/>
      <c r="F175" s="8"/>
      <c r="H175" s="10"/>
      <c r="I175" s="8"/>
      <c r="J175" s="13"/>
      <c r="K175" s="10"/>
      <c r="L175" s="10"/>
      <c r="M175" s="10"/>
      <c r="N175" s="14"/>
      <c r="O175" s="15"/>
      <c r="P175" s="16"/>
      <c r="R175" s="2"/>
    </row>
    <row r="176" ht="15.6" spans="2:18">
      <c r="B176" s="8"/>
      <c r="C176" s="9"/>
      <c r="D176" s="9"/>
      <c r="E176" s="8"/>
      <c r="F176" s="8"/>
      <c r="H176" s="10"/>
      <c r="I176" s="8"/>
      <c r="J176" s="13"/>
      <c r="K176" s="10"/>
      <c r="L176" s="10"/>
      <c r="M176" s="10"/>
      <c r="N176" s="14"/>
      <c r="O176" s="15"/>
      <c r="P176" s="16"/>
      <c r="R176" s="2"/>
    </row>
    <row r="177" ht="15.6" spans="2:22">
      <c r="B177" s="8"/>
      <c r="C177" s="9"/>
      <c r="D177" s="9"/>
      <c r="E177" s="8"/>
      <c r="F177" s="8"/>
      <c r="H177" s="10"/>
      <c r="I177" s="8"/>
      <c r="J177" s="13"/>
      <c r="K177" s="10"/>
      <c r="L177" s="10"/>
      <c r="M177" s="10"/>
      <c r="N177" s="14"/>
      <c r="O177" s="15"/>
      <c r="P177" s="16"/>
      <c r="R177" s="2"/>
      <c r="S177" s="8"/>
      <c r="T177" s="8"/>
      <c r="U177" s="8"/>
      <c r="V177" s="8"/>
    </row>
    <row r="178" ht="15.6" spans="2:18">
      <c r="B178" s="8"/>
      <c r="C178" s="9"/>
      <c r="D178" s="9"/>
      <c r="E178" s="8"/>
      <c r="F178" s="8"/>
      <c r="H178" s="10"/>
      <c r="I178" s="8"/>
      <c r="J178" s="13"/>
      <c r="K178" s="10"/>
      <c r="L178" s="10"/>
      <c r="M178" s="10"/>
      <c r="N178" s="14"/>
      <c r="O178" s="15"/>
      <c r="P178" s="16"/>
      <c r="R178" s="2"/>
    </row>
    <row r="179" ht="15.6" spans="2:18">
      <c r="B179" s="8"/>
      <c r="C179" s="9"/>
      <c r="D179" s="9"/>
      <c r="E179" s="8"/>
      <c r="F179" s="8"/>
      <c r="H179" s="10"/>
      <c r="I179" s="8"/>
      <c r="J179" s="13"/>
      <c r="K179" s="10"/>
      <c r="L179" s="10"/>
      <c r="M179" s="10"/>
      <c r="N179" s="14"/>
      <c r="O179" s="15"/>
      <c r="P179" s="16"/>
      <c r="R179" s="2"/>
    </row>
    <row r="180" ht="15.6" spans="2:18">
      <c r="B180" s="8"/>
      <c r="C180" s="9"/>
      <c r="D180" s="9"/>
      <c r="E180" s="8"/>
      <c r="F180" s="8"/>
      <c r="H180" s="10"/>
      <c r="I180" s="8"/>
      <c r="J180" s="13"/>
      <c r="K180" s="10"/>
      <c r="L180" s="10"/>
      <c r="M180" s="10"/>
      <c r="N180" s="14"/>
      <c r="O180" s="15"/>
      <c r="P180" s="16"/>
      <c r="R180" s="2"/>
    </row>
    <row r="181" ht="15.6" spans="2:18">
      <c r="B181" s="8"/>
      <c r="C181" s="9"/>
      <c r="D181" s="9"/>
      <c r="E181" s="8"/>
      <c r="F181" s="8"/>
      <c r="H181" s="10"/>
      <c r="I181" s="8"/>
      <c r="J181" s="13"/>
      <c r="K181" s="10"/>
      <c r="L181" s="10"/>
      <c r="M181" s="10"/>
      <c r="N181" s="14"/>
      <c r="O181" s="15"/>
      <c r="P181" s="16"/>
      <c r="R181" s="2"/>
    </row>
    <row r="182" ht="15.6" spans="2:18">
      <c r="B182" s="8"/>
      <c r="C182" s="9"/>
      <c r="D182" s="9"/>
      <c r="E182" s="8"/>
      <c r="F182" s="8"/>
      <c r="H182" s="10"/>
      <c r="I182" s="8"/>
      <c r="J182" s="13"/>
      <c r="K182" s="10"/>
      <c r="L182" s="10"/>
      <c r="M182" s="10"/>
      <c r="N182" s="14"/>
      <c r="O182" s="15"/>
      <c r="P182" s="16"/>
      <c r="R182" s="2"/>
    </row>
    <row r="183" ht="15.6" spans="2:18">
      <c r="B183" s="8"/>
      <c r="C183" s="9"/>
      <c r="D183" s="9"/>
      <c r="E183" s="8"/>
      <c r="F183" s="8"/>
      <c r="H183" s="10"/>
      <c r="I183" s="8"/>
      <c r="J183" s="13"/>
      <c r="K183" s="10"/>
      <c r="L183" s="10"/>
      <c r="M183" s="10"/>
      <c r="N183" s="14"/>
      <c r="O183" s="15"/>
      <c r="P183" s="16"/>
      <c r="R183" s="2"/>
    </row>
    <row r="184" ht="15.6" spans="2:18">
      <c r="B184" s="8"/>
      <c r="C184" s="9"/>
      <c r="D184" s="9"/>
      <c r="E184" s="8"/>
      <c r="F184" s="8"/>
      <c r="H184" s="10"/>
      <c r="I184" s="8"/>
      <c r="J184" s="13"/>
      <c r="K184" s="10"/>
      <c r="L184" s="10"/>
      <c r="M184" s="10"/>
      <c r="N184" s="14"/>
      <c r="O184" s="15"/>
      <c r="P184" s="16"/>
      <c r="R184" s="2"/>
    </row>
    <row r="185" ht="15.6" spans="2:18">
      <c r="B185" s="8"/>
      <c r="C185" s="9"/>
      <c r="D185" s="9"/>
      <c r="E185" s="8"/>
      <c r="F185" s="8"/>
      <c r="H185" s="10"/>
      <c r="I185" s="8"/>
      <c r="J185" s="13"/>
      <c r="K185" s="10"/>
      <c r="L185" s="10"/>
      <c r="M185" s="10"/>
      <c r="N185" s="14"/>
      <c r="O185" s="15"/>
      <c r="P185" s="16"/>
      <c r="R185" s="2"/>
    </row>
    <row r="186" ht="15.6" spans="2:18">
      <c r="B186" s="8"/>
      <c r="C186" s="9"/>
      <c r="D186" s="9"/>
      <c r="E186" s="8"/>
      <c r="F186" s="8"/>
      <c r="H186" s="10"/>
      <c r="I186" s="8"/>
      <c r="J186" s="13"/>
      <c r="K186" s="10"/>
      <c r="L186" s="10"/>
      <c r="M186" s="10"/>
      <c r="N186" s="14"/>
      <c r="O186" s="15"/>
      <c r="P186" s="16"/>
      <c r="R186" s="2"/>
    </row>
    <row r="187" ht="15.6" spans="2:18">
      <c r="B187" s="8"/>
      <c r="C187" s="9"/>
      <c r="D187" s="9"/>
      <c r="E187" s="8"/>
      <c r="F187" s="8"/>
      <c r="H187" s="10"/>
      <c r="I187" s="8"/>
      <c r="J187" s="13"/>
      <c r="K187" s="10"/>
      <c r="L187" s="10"/>
      <c r="M187" s="10"/>
      <c r="N187" s="14"/>
      <c r="O187" s="15"/>
      <c r="P187" s="16"/>
      <c r="R187" s="2"/>
    </row>
    <row r="188" ht="15.6" spans="2:22">
      <c r="B188" s="8"/>
      <c r="C188" s="9"/>
      <c r="D188" s="9"/>
      <c r="E188" s="8"/>
      <c r="F188" s="8"/>
      <c r="H188" s="10"/>
      <c r="I188" s="8"/>
      <c r="J188" s="13"/>
      <c r="K188" s="10"/>
      <c r="L188" s="10"/>
      <c r="M188" s="10"/>
      <c r="N188" s="14"/>
      <c r="O188" s="15"/>
      <c r="P188" s="16"/>
      <c r="R188" s="2"/>
      <c r="S188" s="8"/>
      <c r="T188" s="8"/>
      <c r="U188" s="8"/>
      <c r="V188" s="8"/>
    </row>
    <row r="189" ht="15.6" spans="2:18">
      <c r="B189" s="8"/>
      <c r="C189" s="9"/>
      <c r="D189" s="9"/>
      <c r="E189" s="8"/>
      <c r="F189" s="8"/>
      <c r="H189" s="10"/>
      <c r="I189" s="8"/>
      <c r="J189" s="13"/>
      <c r="K189" s="10"/>
      <c r="L189" s="10"/>
      <c r="M189" s="10"/>
      <c r="N189" s="14"/>
      <c r="O189" s="15"/>
      <c r="P189" s="16"/>
      <c r="R189" s="2"/>
    </row>
    <row r="190" ht="15.6" spans="2:18">
      <c r="B190" s="8"/>
      <c r="C190" s="9"/>
      <c r="D190" s="9"/>
      <c r="E190" s="8"/>
      <c r="F190" s="8"/>
      <c r="H190" s="10"/>
      <c r="I190" s="8"/>
      <c r="J190" s="13"/>
      <c r="K190" s="10"/>
      <c r="L190" s="10"/>
      <c r="M190" s="10"/>
      <c r="N190" s="14"/>
      <c r="O190" s="15"/>
      <c r="P190" s="16"/>
      <c r="R190" s="2"/>
    </row>
    <row r="191" ht="15.6" spans="2:18">
      <c r="B191" s="8"/>
      <c r="C191" s="9"/>
      <c r="D191" s="9"/>
      <c r="E191" s="8"/>
      <c r="F191" s="8"/>
      <c r="H191" s="10"/>
      <c r="I191" s="8"/>
      <c r="J191" s="13"/>
      <c r="K191" s="10"/>
      <c r="L191" s="10"/>
      <c r="M191" s="10"/>
      <c r="N191" s="14"/>
      <c r="O191" s="15"/>
      <c r="P191" s="16"/>
      <c r="R191" s="2"/>
    </row>
    <row r="192" ht="15.6" spans="2:18">
      <c r="B192" s="8"/>
      <c r="C192" s="9"/>
      <c r="D192" s="9"/>
      <c r="E192" s="8"/>
      <c r="F192" s="8"/>
      <c r="H192" s="10"/>
      <c r="I192" s="8"/>
      <c r="J192" s="13"/>
      <c r="K192" s="10"/>
      <c r="L192" s="10"/>
      <c r="M192" s="10"/>
      <c r="N192" s="14"/>
      <c r="O192" s="15"/>
      <c r="P192" s="16"/>
      <c r="R192" s="2"/>
    </row>
    <row r="193" ht="15.6" spans="2:18">
      <c r="B193" s="8"/>
      <c r="C193" s="9"/>
      <c r="D193" s="9"/>
      <c r="E193" s="8"/>
      <c r="F193" s="8"/>
      <c r="H193" s="10"/>
      <c r="I193" s="8"/>
      <c r="J193" s="13"/>
      <c r="K193" s="10"/>
      <c r="L193" s="10"/>
      <c r="M193" s="10"/>
      <c r="N193" s="14"/>
      <c r="O193" s="15"/>
      <c r="P193" s="16"/>
      <c r="R193" s="2"/>
    </row>
    <row r="194" ht="15.6" spans="2:18">
      <c r="B194" s="8"/>
      <c r="C194" s="9"/>
      <c r="D194" s="9"/>
      <c r="E194" s="8"/>
      <c r="F194" s="8"/>
      <c r="H194" s="10"/>
      <c r="I194" s="8"/>
      <c r="J194" s="13"/>
      <c r="K194" s="10"/>
      <c r="L194" s="10"/>
      <c r="M194" s="10"/>
      <c r="N194" s="14"/>
      <c r="O194" s="15"/>
      <c r="P194" s="16"/>
      <c r="R194" s="2"/>
    </row>
    <row r="195" ht="15.6" spans="2:22">
      <c r="B195" s="8"/>
      <c r="C195" s="9"/>
      <c r="D195" s="9"/>
      <c r="E195" s="8"/>
      <c r="F195" s="8"/>
      <c r="H195" s="10"/>
      <c r="I195" s="8"/>
      <c r="J195" s="13"/>
      <c r="K195" s="10"/>
      <c r="L195" s="10"/>
      <c r="M195" s="10"/>
      <c r="N195" s="14"/>
      <c r="O195" s="15"/>
      <c r="P195" s="16"/>
      <c r="R195" s="2"/>
      <c r="S195" s="8"/>
      <c r="T195" s="8"/>
      <c r="U195" s="8"/>
      <c r="V195" s="8"/>
    </row>
    <row r="196" ht="15.6" spans="2:18">
      <c r="B196" s="8"/>
      <c r="C196" s="9"/>
      <c r="D196" s="9"/>
      <c r="E196" s="8"/>
      <c r="F196" s="8"/>
      <c r="H196" s="10"/>
      <c r="I196" s="8"/>
      <c r="J196" s="13"/>
      <c r="K196" s="10"/>
      <c r="L196" s="10"/>
      <c r="M196" s="10"/>
      <c r="N196" s="14"/>
      <c r="O196" s="15"/>
      <c r="P196" s="16"/>
      <c r="R196" s="2"/>
    </row>
    <row r="197" ht="15.6" spans="2:18">
      <c r="B197" s="8"/>
      <c r="C197" s="9"/>
      <c r="D197" s="9"/>
      <c r="E197" s="8"/>
      <c r="F197" s="8"/>
      <c r="H197" s="10"/>
      <c r="I197" s="8"/>
      <c r="J197" s="13"/>
      <c r="K197" s="10"/>
      <c r="L197" s="10"/>
      <c r="M197" s="10"/>
      <c r="N197" s="14"/>
      <c r="O197" s="15"/>
      <c r="P197" s="16"/>
      <c r="R197" s="2"/>
    </row>
    <row r="198" ht="15.6" spans="2:18">
      <c r="B198" s="8"/>
      <c r="C198" s="9"/>
      <c r="D198" s="9"/>
      <c r="E198" s="8"/>
      <c r="F198" s="8"/>
      <c r="H198" s="10"/>
      <c r="I198" s="8"/>
      <c r="J198" s="13"/>
      <c r="K198" s="10"/>
      <c r="L198" s="10"/>
      <c r="M198" s="10"/>
      <c r="N198" s="14"/>
      <c r="O198" s="15"/>
      <c r="P198" s="16"/>
      <c r="R198" s="2"/>
    </row>
    <row r="199" ht="15.6" spans="2:18">
      <c r="B199" s="8"/>
      <c r="C199" s="9"/>
      <c r="D199" s="9"/>
      <c r="E199" s="8"/>
      <c r="F199" s="8"/>
      <c r="H199" s="10"/>
      <c r="I199" s="8"/>
      <c r="J199" s="13"/>
      <c r="K199" s="10"/>
      <c r="L199" s="10"/>
      <c r="M199" s="10"/>
      <c r="N199" s="14"/>
      <c r="O199" s="15"/>
      <c r="P199" s="16"/>
      <c r="R199" s="2"/>
    </row>
    <row r="200" ht="15.6" spans="2:18">
      <c r="B200" s="8"/>
      <c r="C200" s="9"/>
      <c r="D200" s="9"/>
      <c r="E200" s="8"/>
      <c r="F200" s="8"/>
      <c r="H200" s="10"/>
      <c r="I200" s="8"/>
      <c r="J200" s="13"/>
      <c r="K200" s="10"/>
      <c r="L200" s="10"/>
      <c r="M200" s="10"/>
      <c r="N200" s="14"/>
      <c r="O200" s="15"/>
      <c r="P200" s="16"/>
      <c r="R200" s="2"/>
    </row>
    <row r="201" ht="15.6" spans="2:18">
      <c r="B201" s="8"/>
      <c r="C201" s="9"/>
      <c r="D201" s="9"/>
      <c r="E201" s="8"/>
      <c r="F201" s="8"/>
      <c r="H201" s="10"/>
      <c r="I201" s="8"/>
      <c r="J201" s="13"/>
      <c r="K201" s="10"/>
      <c r="L201" s="10"/>
      <c r="M201" s="10"/>
      <c r="N201" s="14"/>
      <c r="O201" s="15"/>
      <c r="P201" s="16"/>
      <c r="R201" s="2"/>
    </row>
    <row r="202" ht="15.6" spans="2:18">
      <c r="B202" s="8"/>
      <c r="C202" s="9"/>
      <c r="D202" s="9"/>
      <c r="E202" s="8"/>
      <c r="F202" s="8"/>
      <c r="H202" s="10"/>
      <c r="I202" s="8"/>
      <c r="J202" s="13"/>
      <c r="K202" s="10"/>
      <c r="L202" s="10"/>
      <c r="M202" s="10"/>
      <c r="N202" s="14"/>
      <c r="O202" s="15"/>
      <c r="P202" s="16"/>
      <c r="R202" s="2"/>
    </row>
    <row r="203" ht="15.6" spans="2:18">
      <c r="B203" s="8"/>
      <c r="C203" s="9"/>
      <c r="D203" s="9"/>
      <c r="E203" s="8"/>
      <c r="F203" s="8"/>
      <c r="H203" s="10"/>
      <c r="I203" s="8"/>
      <c r="J203" s="13"/>
      <c r="K203" s="10"/>
      <c r="L203" s="10"/>
      <c r="M203" s="10"/>
      <c r="N203" s="14"/>
      <c r="O203" s="15"/>
      <c r="P203" s="16"/>
      <c r="R203" s="2"/>
    </row>
    <row r="204" ht="15.6" spans="2:18">
      <c r="B204" s="8"/>
      <c r="C204" s="9"/>
      <c r="D204" s="9"/>
      <c r="E204" s="8"/>
      <c r="F204" s="8"/>
      <c r="H204" s="10"/>
      <c r="I204" s="8"/>
      <c r="J204" s="13"/>
      <c r="K204" s="10"/>
      <c r="L204" s="10"/>
      <c r="M204" s="10"/>
      <c r="N204" s="14"/>
      <c r="O204" s="15"/>
      <c r="P204" s="16"/>
      <c r="R204" s="2"/>
    </row>
    <row r="205" ht="15.6" spans="2:18">
      <c r="B205" s="8"/>
      <c r="C205" s="9"/>
      <c r="D205" s="9"/>
      <c r="E205" s="8"/>
      <c r="F205" s="8"/>
      <c r="H205" s="10"/>
      <c r="I205" s="8"/>
      <c r="J205" s="13"/>
      <c r="K205" s="10"/>
      <c r="L205" s="10"/>
      <c r="M205" s="10"/>
      <c r="N205" s="14"/>
      <c r="O205" s="15"/>
      <c r="P205" s="16"/>
      <c r="R205" s="2"/>
    </row>
    <row r="206" ht="15.6" spans="2:22">
      <c r="B206" s="8"/>
      <c r="C206" s="9"/>
      <c r="D206" s="9"/>
      <c r="E206" s="8"/>
      <c r="F206" s="8"/>
      <c r="H206" s="10"/>
      <c r="I206" s="8"/>
      <c r="J206" s="13"/>
      <c r="K206" s="10"/>
      <c r="L206" s="10"/>
      <c r="M206" s="10"/>
      <c r="N206" s="14"/>
      <c r="O206" s="15"/>
      <c r="P206" s="16"/>
      <c r="R206" s="2"/>
      <c r="S206" s="8"/>
      <c r="T206" s="8"/>
      <c r="U206" s="8"/>
      <c r="V206" s="8"/>
    </row>
    <row r="207" ht="15.6" spans="2:18">
      <c r="B207" s="8"/>
      <c r="C207" s="9"/>
      <c r="D207" s="9"/>
      <c r="E207" s="8"/>
      <c r="F207" s="8"/>
      <c r="H207" s="10"/>
      <c r="I207" s="8"/>
      <c r="J207" s="13"/>
      <c r="K207" s="10"/>
      <c r="L207" s="10"/>
      <c r="M207" s="10"/>
      <c r="N207" s="14"/>
      <c r="O207" s="15"/>
      <c r="P207" s="16"/>
      <c r="R207" s="2"/>
    </row>
    <row r="208" ht="15.6" spans="2:18">
      <c r="B208" s="8"/>
      <c r="C208" s="9"/>
      <c r="D208" s="9"/>
      <c r="E208" s="8"/>
      <c r="F208" s="8"/>
      <c r="H208" s="10"/>
      <c r="I208" s="8"/>
      <c r="J208" s="13"/>
      <c r="K208" s="10"/>
      <c r="L208" s="10"/>
      <c r="M208" s="10"/>
      <c r="N208" s="14"/>
      <c r="O208" s="15"/>
      <c r="P208" s="16"/>
      <c r="R208" s="2"/>
    </row>
    <row r="209" ht="15.6" spans="2:18">
      <c r="B209" s="8"/>
      <c r="C209" s="9"/>
      <c r="D209" s="9"/>
      <c r="E209" s="8"/>
      <c r="F209" s="8"/>
      <c r="H209" s="10"/>
      <c r="I209" s="8"/>
      <c r="J209" s="13"/>
      <c r="K209" s="10"/>
      <c r="L209" s="10"/>
      <c r="M209" s="10"/>
      <c r="N209" s="14"/>
      <c r="O209" s="15"/>
      <c r="P209" s="16"/>
      <c r="R209" s="2"/>
    </row>
    <row r="210" ht="15.6" spans="2:18">
      <c r="B210" s="8"/>
      <c r="C210" s="9"/>
      <c r="D210" s="9"/>
      <c r="E210" s="8"/>
      <c r="F210" s="8"/>
      <c r="H210" s="10"/>
      <c r="I210" s="8"/>
      <c r="J210" s="13"/>
      <c r="K210" s="10"/>
      <c r="L210" s="10"/>
      <c r="M210" s="10"/>
      <c r="N210" s="14"/>
      <c r="O210" s="15"/>
      <c r="P210" s="16"/>
      <c r="R210" s="2"/>
    </row>
    <row r="211" ht="15.6" spans="2:18">
      <c r="B211" s="8"/>
      <c r="C211" s="9"/>
      <c r="D211" s="9"/>
      <c r="E211" s="8"/>
      <c r="F211" s="8"/>
      <c r="H211" s="10"/>
      <c r="I211" s="8"/>
      <c r="J211" s="13"/>
      <c r="K211" s="10"/>
      <c r="L211" s="10"/>
      <c r="M211" s="10"/>
      <c r="N211" s="14"/>
      <c r="O211" s="15"/>
      <c r="P211" s="16"/>
      <c r="R211" s="2"/>
    </row>
    <row r="212" ht="15.6" spans="2:18">
      <c r="B212" s="8"/>
      <c r="C212" s="9"/>
      <c r="D212" s="9"/>
      <c r="E212" s="8"/>
      <c r="F212" s="8"/>
      <c r="H212" s="10"/>
      <c r="I212" s="8"/>
      <c r="J212" s="13"/>
      <c r="K212" s="10"/>
      <c r="L212" s="10"/>
      <c r="M212" s="10"/>
      <c r="N212" s="14"/>
      <c r="O212" s="15"/>
      <c r="P212" s="16"/>
      <c r="R212" s="2"/>
    </row>
    <row r="213" ht="15.6" spans="2:18">
      <c r="B213" s="8"/>
      <c r="C213" s="9"/>
      <c r="D213" s="9"/>
      <c r="E213" s="8"/>
      <c r="F213" s="8"/>
      <c r="H213" s="10"/>
      <c r="I213" s="8"/>
      <c r="J213" s="13"/>
      <c r="K213" s="10"/>
      <c r="L213" s="10"/>
      <c r="M213" s="10"/>
      <c r="N213" s="14"/>
      <c r="O213" s="15"/>
      <c r="P213" s="16"/>
      <c r="R213" s="2"/>
    </row>
    <row r="214" ht="15.6" spans="2:18">
      <c r="B214" s="8"/>
      <c r="C214" s="9"/>
      <c r="D214" s="9"/>
      <c r="E214" s="8"/>
      <c r="F214" s="8"/>
      <c r="H214" s="10"/>
      <c r="I214" s="8"/>
      <c r="J214" s="13"/>
      <c r="K214" s="10"/>
      <c r="L214" s="10"/>
      <c r="M214" s="10"/>
      <c r="N214" s="14"/>
      <c r="O214" s="15"/>
      <c r="P214" s="16"/>
      <c r="R214" s="2"/>
    </row>
    <row r="215" ht="15.6" spans="2:18">
      <c r="B215" s="8"/>
      <c r="C215" s="9"/>
      <c r="D215" s="9"/>
      <c r="E215" s="8"/>
      <c r="F215" s="8"/>
      <c r="H215" s="10"/>
      <c r="I215" s="8"/>
      <c r="J215" s="13"/>
      <c r="K215" s="10"/>
      <c r="L215" s="10"/>
      <c r="M215" s="10"/>
      <c r="N215" s="14"/>
      <c r="O215" s="15"/>
      <c r="P215" s="16"/>
      <c r="R215" s="2"/>
    </row>
    <row r="216" ht="15.6" spans="2:18">
      <c r="B216" s="8"/>
      <c r="C216" s="9"/>
      <c r="D216" s="9"/>
      <c r="E216" s="8"/>
      <c r="F216" s="8"/>
      <c r="H216" s="10"/>
      <c r="I216" s="8"/>
      <c r="J216" s="13"/>
      <c r="K216" s="10"/>
      <c r="L216" s="10"/>
      <c r="M216" s="10"/>
      <c r="N216" s="14"/>
      <c r="O216" s="15"/>
      <c r="P216" s="16"/>
      <c r="R216" s="2"/>
    </row>
    <row r="217" ht="15.6" spans="2:22">
      <c r="B217" s="8"/>
      <c r="C217" s="9"/>
      <c r="D217" s="9"/>
      <c r="E217" s="8"/>
      <c r="F217" s="8"/>
      <c r="H217" s="10"/>
      <c r="I217" s="8"/>
      <c r="J217" s="13"/>
      <c r="K217" s="10"/>
      <c r="L217" s="10"/>
      <c r="M217" s="10"/>
      <c r="N217" s="14"/>
      <c r="O217" s="15"/>
      <c r="P217" s="16"/>
      <c r="R217" s="2"/>
      <c r="S217" s="8"/>
      <c r="T217" s="8"/>
      <c r="U217" s="8"/>
      <c r="V217" s="8"/>
    </row>
    <row r="218" ht="15.6" spans="2:18">
      <c r="B218" s="8"/>
      <c r="C218" s="9"/>
      <c r="D218" s="9"/>
      <c r="E218" s="8"/>
      <c r="F218" s="8"/>
      <c r="H218" s="10"/>
      <c r="I218" s="8"/>
      <c r="J218" s="13"/>
      <c r="K218" s="10"/>
      <c r="L218" s="10"/>
      <c r="M218" s="10"/>
      <c r="N218" s="14"/>
      <c r="O218" s="15"/>
      <c r="P218" s="16"/>
      <c r="R218" s="2"/>
    </row>
    <row r="219" ht="15.6" spans="2:18">
      <c r="B219" s="8"/>
      <c r="C219" s="9"/>
      <c r="D219" s="9"/>
      <c r="E219" s="8"/>
      <c r="F219" s="8"/>
      <c r="H219" s="10"/>
      <c r="I219" s="8"/>
      <c r="J219" s="13"/>
      <c r="K219" s="10"/>
      <c r="L219" s="10"/>
      <c r="M219" s="10"/>
      <c r="N219" s="14"/>
      <c r="O219" s="15"/>
      <c r="P219" s="16"/>
      <c r="R219" s="2"/>
    </row>
    <row r="220" ht="15.6" spans="2:18">
      <c r="B220" s="8"/>
      <c r="C220" s="9"/>
      <c r="D220" s="9"/>
      <c r="E220" s="8"/>
      <c r="F220" s="8"/>
      <c r="H220" s="10"/>
      <c r="I220" s="8"/>
      <c r="J220" s="13"/>
      <c r="K220" s="10"/>
      <c r="L220" s="10"/>
      <c r="M220" s="10"/>
      <c r="N220" s="14"/>
      <c r="O220" s="15"/>
      <c r="P220" s="16"/>
      <c r="R220" s="2"/>
    </row>
    <row r="221" ht="15.6" spans="2:18">
      <c r="B221" s="8"/>
      <c r="C221" s="9"/>
      <c r="D221" s="9"/>
      <c r="E221" s="8"/>
      <c r="F221" s="8"/>
      <c r="H221" s="10"/>
      <c r="I221" s="8"/>
      <c r="J221" s="13"/>
      <c r="K221" s="10"/>
      <c r="L221" s="10"/>
      <c r="M221" s="10"/>
      <c r="N221" s="14"/>
      <c r="O221" s="15"/>
      <c r="P221" s="16"/>
      <c r="R221" s="2"/>
    </row>
    <row r="222" ht="15.6" spans="2:18">
      <c r="B222" s="8"/>
      <c r="C222" s="9"/>
      <c r="D222" s="9"/>
      <c r="E222" s="8"/>
      <c r="F222" s="8"/>
      <c r="H222" s="10"/>
      <c r="I222" s="8"/>
      <c r="J222" s="13"/>
      <c r="K222" s="10"/>
      <c r="L222" s="10"/>
      <c r="M222" s="10"/>
      <c r="N222" s="14"/>
      <c r="O222" s="15"/>
      <c r="P222" s="16"/>
      <c r="R222" s="2"/>
    </row>
    <row r="223" ht="15.6" spans="2:18">
      <c r="B223" s="8"/>
      <c r="C223" s="9"/>
      <c r="D223" s="9"/>
      <c r="E223" s="8"/>
      <c r="F223" s="8"/>
      <c r="H223" s="10"/>
      <c r="I223" s="8"/>
      <c r="J223" s="13"/>
      <c r="K223" s="10"/>
      <c r="L223" s="10"/>
      <c r="M223" s="10"/>
      <c r="N223" s="14"/>
      <c r="O223" s="15"/>
      <c r="P223" s="16"/>
      <c r="R223" s="2"/>
    </row>
    <row r="224" ht="15.6" spans="2:18">
      <c r="B224" s="8"/>
      <c r="C224" s="9"/>
      <c r="D224" s="9"/>
      <c r="E224" s="8"/>
      <c r="F224" s="8"/>
      <c r="H224" s="10"/>
      <c r="I224" s="8"/>
      <c r="J224" s="13"/>
      <c r="K224" s="10"/>
      <c r="L224" s="10"/>
      <c r="M224" s="10"/>
      <c r="N224" s="14"/>
      <c r="O224" s="15"/>
      <c r="P224" s="16"/>
      <c r="R224" s="2"/>
    </row>
    <row r="225" ht="15.6" spans="2:18">
      <c r="B225" s="8"/>
      <c r="C225" s="9"/>
      <c r="D225" s="9"/>
      <c r="E225" s="8"/>
      <c r="F225" s="8"/>
      <c r="H225" s="10"/>
      <c r="I225" s="8"/>
      <c r="J225" s="13"/>
      <c r="K225" s="10"/>
      <c r="L225" s="10"/>
      <c r="M225" s="10"/>
      <c r="N225" s="14"/>
      <c r="O225" s="15"/>
      <c r="P225" s="16"/>
      <c r="R225" s="2"/>
    </row>
    <row r="226" ht="15.6" spans="2:18">
      <c r="B226" s="8"/>
      <c r="C226" s="9"/>
      <c r="D226" s="9"/>
      <c r="E226" s="8"/>
      <c r="F226" s="8"/>
      <c r="H226" s="10"/>
      <c r="I226" s="8"/>
      <c r="J226" s="13"/>
      <c r="K226" s="10"/>
      <c r="L226" s="10"/>
      <c r="M226" s="10"/>
      <c r="N226" s="14"/>
      <c r="O226" s="15"/>
      <c r="P226" s="16"/>
      <c r="R226" s="2"/>
    </row>
    <row r="227" ht="15.6" spans="2:18">
      <c r="B227" s="8"/>
      <c r="C227" s="9"/>
      <c r="D227" s="9"/>
      <c r="E227" s="8"/>
      <c r="F227" s="8"/>
      <c r="H227" s="10"/>
      <c r="I227" s="8"/>
      <c r="J227" s="13"/>
      <c r="K227" s="10"/>
      <c r="L227" s="10"/>
      <c r="M227" s="10"/>
      <c r="N227" s="14"/>
      <c r="O227" s="15"/>
      <c r="P227" s="16"/>
      <c r="R227" s="2"/>
    </row>
    <row r="228" ht="15.6" spans="2:22">
      <c r="B228" s="8"/>
      <c r="C228" s="9"/>
      <c r="D228" s="9"/>
      <c r="E228" s="8"/>
      <c r="F228" s="8"/>
      <c r="H228" s="10"/>
      <c r="I228" s="8"/>
      <c r="J228" s="13"/>
      <c r="K228" s="10"/>
      <c r="L228" s="10"/>
      <c r="M228" s="10"/>
      <c r="N228" s="14"/>
      <c r="O228" s="15"/>
      <c r="P228" s="16"/>
      <c r="R228" s="2"/>
      <c r="S228" s="8"/>
      <c r="T228" s="8"/>
      <c r="U228" s="8"/>
      <c r="V228" s="8"/>
    </row>
    <row r="229" ht="15.6" spans="2:18">
      <c r="B229" s="8"/>
      <c r="C229" s="9"/>
      <c r="D229" s="9"/>
      <c r="E229" s="8"/>
      <c r="F229" s="8"/>
      <c r="H229" s="10"/>
      <c r="I229" s="8"/>
      <c r="J229" s="13"/>
      <c r="K229" s="10"/>
      <c r="L229" s="10"/>
      <c r="M229" s="10"/>
      <c r="N229" s="14"/>
      <c r="O229" s="15"/>
      <c r="P229" s="16"/>
      <c r="R229" s="2"/>
    </row>
    <row r="230" ht="15.6" spans="2:18">
      <c r="B230" s="8"/>
      <c r="C230" s="9"/>
      <c r="D230" s="9"/>
      <c r="E230" s="8"/>
      <c r="F230" s="8"/>
      <c r="H230" s="10"/>
      <c r="I230" s="8"/>
      <c r="J230" s="13"/>
      <c r="K230" s="10"/>
      <c r="L230" s="10"/>
      <c r="M230" s="10"/>
      <c r="N230" s="14"/>
      <c r="O230" s="15"/>
      <c r="P230" s="16"/>
      <c r="R230" s="2"/>
    </row>
    <row r="231" ht="15.6" spans="2:18">
      <c r="B231" s="8"/>
      <c r="C231" s="9"/>
      <c r="D231" s="9"/>
      <c r="E231" s="8"/>
      <c r="F231" s="8"/>
      <c r="H231" s="10"/>
      <c r="I231" s="8"/>
      <c r="J231" s="13"/>
      <c r="K231" s="10"/>
      <c r="L231" s="10"/>
      <c r="M231" s="10"/>
      <c r="N231" s="14"/>
      <c r="O231" s="15"/>
      <c r="P231" s="16"/>
      <c r="R231" s="2"/>
    </row>
    <row r="232" ht="15.6" spans="2:18">
      <c r="B232" s="8"/>
      <c r="C232" s="9"/>
      <c r="D232" s="9"/>
      <c r="E232" s="8"/>
      <c r="F232" s="8"/>
      <c r="H232" s="10"/>
      <c r="I232" s="8"/>
      <c r="J232" s="13"/>
      <c r="K232" s="10"/>
      <c r="L232" s="10"/>
      <c r="M232" s="10"/>
      <c r="N232" s="14"/>
      <c r="O232" s="15"/>
      <c r="P232" s="16"/>
      <c r="R232" s="2"/>
    </row>
    <row r="233" ht="15.6" spans="2:18">
      <c r="B233" s="8"/>
      <c r="C233" s="9"/>
      <c r="D233" s="9"/>
      <c r="E233" s="8"/>
      <c r="F233" s="8"/>
      <c r="H233" s="10"/>
      <c r="I233" s="8"/>
      <c r="J233" s="13"/>
      <c r="K233" s="10"/>
      <c r="L233" s="10"/>
      <c r="M233" s="10"/>
      <c r="N233" s="14"/>
      <c r="O233" s="15"/>
      <c r="P233" s="16"/>
      <c r="R233" s="2"/>
    </row>
    <row r="234" ht="15.6" spans="2:22">
      <c r="B234" s="8"/>
      <c r="C234" s="9"/>
      <c r="D234" s="9"/>
      <c r="E234" s="8"/>
      <c r="F234" s="8"/>
      <c r="H234" s="10"/>
      <c r="I234" s="8"/>
      <c r="J234" s="13"/>
      <c r="K234" s="10"/>
      <c r="L234" s="10"/>
      <c r="M234" s="10"/>
      <c r="N234" s="14"/>
      <c r="O234" s="15"/>
      <c r="P234" s="16"/>
      <c r="R234" s="2"/>
      <c r="S234" s="8"/>
      <c r="T234" s="8"/>
      <c r="U234" s="8"/>
      <c r="V234" s="8"/>
    </row>
    <row r="235" ht="15.6" spans="2:18">
      <c r="B235" s="8"/>
      <c r="C235" s="9"/>
      <c r="D235" s="9"/>
      <c r="E235" s="8"/>
      <c r="F235" s="8"/>
      <c r="H235" s="10"/>
      <c r="I235" s="8"/>
      <c r="J235" s="13"/>
      <c r="K235" s="10"/>
      <c r="L235" s="10"/>
      <c r="M235" s="10"/>
      <c r="N235" s="14"/>
      <c r="O235" s="15"/>
      <c r="P235" s="16"/>
      <c r="R235" s="2"/>
    </row>
    <row r="236" ht="15.6" spans="2:18">
      <c r="B236" s="8"/>
      <c r="C236" s="9"/>
      <c r="D236" s="9"/>
      <c r="E236" s="8"/>
      <c r="F236" s="8"/>
      <c r="H236" s="10"/>
      <c r="I236" s="8"/>
      <c r="J236" s="13"/>
      <c r="K236" s="10"/>
      <c r="L236" s="10"/>
      <c r="M236" s="10"/>
      <c r="N236" s="14"/>
      <c r="O236" s="15"/>
      <c r="P236" s="16"/>
      <c r="R236" s="2"/>
    </row>
    <row r="237" ht="15.6" spans="2:18">
      <c r="B237" s="8"/>
      <c r="C237" s="9"/>
      <c r="D237" s="9"/>
      <c r="E237" s="8"/>
      <c r="F237" s="8"/>
      <c r="H237" s="10"/>
      <c r="I237" s="8"/>
      <c r="J237" s="13"/>
      <c r="K237" s="10"/>
      <c r="L237" s="10"/>
      <c r="M237" s="10"/>
      <c r="N237" s="14"/>
      <c r="O237" s="15"/>
      <c r="P237" s="16"/>
      <c r="R237" s="2"/>
    </row>
    <row r="238" ht="15.6" spans="2:18">
      <c r="B238" s="8"/>
      <c r="C238" s="9"/>
      <c r="D238" s="9"/>
      <c r="E238" s="8"/>
      <c r="F238" s="8"/>
      <c r="H238" s="10"/>
      <c r="I238" s="8"/>
      <c r="J238" s="13"/>
      <c r="K238" s="10"/>
      <c r="L238" s="10"/>
      <c r="M238" s="10"/>
      <c r="N238" s="14"/>
      <c r="O238" s="15"/>
      <c r="P238" s="16"/>
      <c r="R238" s="2"/>
    </row>
    <row r="239" ht="15.6" spans="2:18">
      <c r="B239" s="8"/>
      <c r="C239" s="9"/>
      <c r="D239" s="9"/>
      <c r="E239" s="8"/>
      <c r="F239" s="8"/>
      <c r="H239" s="10"/>
      <c r="I239" s="8"/>
      <c r="J239" s="13"/>
      <c r="K239" s="10"/>
      <c r="L239" s="10"/>
      <c r="M239" s="10"/>
      <c r="N239" s="14"/>
      <c r="O239" s="15"/>
      <c r="P239" s="16"/>
      <c r="R239" s="2"/>
    </row>
    <row r="240" ht="15.6" spans="2:18">
      <c r="B240" s="8"/>
      <c r="C240" s="9"/>
      <c r="D240" s="9"/>
      <c r="E240" s="8"/>
      <c r="F240" s="8"/>
      <c r="H240" s="10"/>
      <c r="I240" s="8"/>
      <c r="J240" s="13"/>
      <c r="K240" s="10"/>
      <c r="L240" s="10"/>
      <c r="M240" s="10"/>
      <c r="N240" s="14"/>
      <c r="O240" s="15"/>
      <c r="P240" s="16"/>
      <c r="R240" s="2"/>
    </row>
    <row r="241" ht="15.6" spans="2:18">
      <c r="B241" s="8"/>
      <c r="C241" s="9"/>
      <c r="D241" s="9"/>
      <c r="E241" s="8"/>
      <c r="F241" s="8"/>
      <c r="H241" s="10"/>
      <c r="I241" s="8"/>
      <c r="J241" s="13"/>
      <c r="K241" s="10"/>
      <c r="L241" s="10"/>
      <c r="M241" s="10"/>
      <c r="N241" s="14"/>
      <c r="O241" s="15"/>
      <c r="P241" s="16"/>
      <c r="R241" s="2"/>
    </row>
    <row r="242" ht="15.6" spans="2:18">
      <c r="B242" s="8"/>
      <c r="C242" s="9"/>
      <c r="D242" s="9"/>
      <c r="E242" s="8"/>
      <c r="F242" s="8"/>
      <c r="H242" s="10"/>
      <c r="I242" s="8"/>
      <c r="J242" s="13"/>
      <c r="K242" s="10"/>
      <c r="L242" s="10"/>
      <c r="M242" s="10"/>
      <c r="N242" s="14"/>
      <c r="O242" s="15"/>
      <c r="P242" s="16"/>
      <c r="R242" s="2"/>
    </row>
    <row r="243" ht="15.6" spans="2:18">
      <c r="B243" s="8"/>
      <c r="C243" s="9"/>
      <c r="D243" s="9"/>
      <c r="E243" s="8"/>
      <c r="F243" s="8"/>
      <c r="H243" s="10"/>
      <c r="I243" s="8"/>
      <c r="J243" s="13"/>
      <c r="K243" s="10"/>
      <c r="L243" s="10"/>
      <c r="M243" s="10"/>
      <c r="N243" s="14"/>
      <c r="O243" s="15"/>
      <c r="P243" s="16"/>
      <c r="R243" s="2"/>
    </row>
    <row r="244" ht="15.6" spans="2:18">
      <c r="B244" s="8"/>
      <c r="C244" s="9"/>
      <c r="D244" s="9"/>
      <c r="E244" s="8"/>
      <c r="F244" s="8"/>
      <c r="H244" s="10"/>
      <c r="I244" s="8"/>
      <c r="J244" s="13"/>
      <c r="K244" s="10"/>
      <c r="L244" s="10"/>
      <c r="M244" s="10"/>
      <c r="N244" s="14"/>
      <c r="O244" s="15"/>
      <c r="P244" s="16"/>
      <c r="R244" s="2"/>
    </row>
    <row r="245" ht="15.6" spans="2:22">
      <c r="B245" s="8"/>
      <c r="C245" s="9"/>
      <c r="D245" s="9"/>
      <c r="E245" s="8"/>
      <c r="F245" s="8"/>
      <c r="H245" s="10"/>
      <c r="I245" s="8"/>
      <c r="J245" s="13"/>
      <c r="K245" s="10"/>
      <c r="L245" s="10"/>
      <c r="M245" s="10"/>
      <c r="N245" s="14"/>
      <c r="O245" s="15"/>
      <c r="P245" s="16"/>
      <c r="R245" s="2"/>
      <c r="S245" s="8"/>
      <c r="T245" s="8"/>
      <c r="U245" s="8"/>
      <c r="V245" s="8"/>
    </row>
    <row r="246" ht="15.6" spans="2:18">
      <c r="B246" s="8"/>
      <c r="C246" s="9"/>
      <c r="D246" s="9"/>
      <c r="E246" s="8"/>
      <c r="F246" s="8"/>
      <c r="H246" s="10"/>
      <c r="I246" s="8"/>
      <c r="J246" s="13"/>
      <c r="K246" s="10"/>
      <c r="L246" s="10"/>
      <c r="M246" s="10"/>
      <c r="N246" s="14"/>
      <c r="O246" s="15"/>
      <c r="P246" s="16"/>
      <c r="R246" s="2"/>
    </row>
    <row r="247" ht="15.6" spans="2:18">
      <c r="B247" s="8"/>
      <c r="C247" s="9"/>
      <c r="D247" s="9"/>
      <c r="E247" s="8"/>
      <c r="F247" s="8"/>
      <c r="H247" s="10"/>
      <c r="I247" s="8"/>
      <c r="J247" s="13"/>
      <c r="K247" s="10"/>
      <c r="L247" s="10"/>
      <c r="M247" s="10"/>
      <c r="N247" s="14"/>
      <c r="O247" s="15"/>
      <c r="P247" s="16"/>
      <c r="R247" s="2"/>
    </row>
    <row r="248" ht="15.6" spans="2:18">
      <c r="B248" s="8"/>
      <c r="C248" s="9"/>
      <c r="D248" s="9"/>
      <c r="E248" s="8"/>
      <c r="F248" s="8"/>
      <c r="H248" s="10"/>
      <c r="I248" s="8"/>
      <c r="J248" s="13"/>
      <c r="K248" s="10"/>
      <c r="L248" s="10"/>
      <c r="M248" s="10"/>
      <c r="N248" s="14"/>
      <c r="O248" s="15"/>
      <c r="P248" s="16"/>
      <c r="R248" s="2"/>
    </row>
    <row r="249" ht="15.6" spans="2:18">
      <c r="B249" s="8"/>
      <c r="C249" s="9"/>
      <c r="D249" s="9"/>
      <c r="E249" s="8"/>
      <c r="F249" s="8"/>
      <c r="H249" s="10"/>
      <c r="I249" s="8"/>
      <c r="J249" s="13"/>
      <c r="K249" s="10"/>
      <c r="L249" s="10"/>
      <c r="M249" s="10"/>
      <c r="N249" s="14"/>
      <c r="O249" s="15"/>
      <c r="P249" s="16"/>
      <c r="R249" s="2"/>
    </row>
    <row r="250" ht="15.6" spans="2:18">
      <c r="B250" s="8"/>
      <c r="C250" s="9"/>
      <c r="D250" s="9"/>
      <c r="E250" s="8"/>
      <c r="F250" s="8"/>
      <c r="H250" s="10"/>
      <c r="I250" s="8"/>
      <c r="J250" s="13"/>
      <c r="K250" s="10"/>
      <c r="L250" s="10"/>
      <c r="M250" s="10"/>
      <c r="N250" s="14"/>
      <c r="O250" s="15"/>
      <c r="P250" s="16"/>
      <c r="R250" s="2"/>
    </row>
    <row r="251" ht="15.6" spans="2:18">
      <c r="B251" s="8"/>
      <c r="C251" s="9"/>
      <c r="D251" s="9"/>
      <c r="E251" s="8"/>
      <c r="F251" s="8"/>
      <c r="H251" s="10"/>
      <c r="I251" s="8"/>
      <c r="J251" s="13"/>
      <c r="K251" s="10"/>
      <c r="L251" s="10"/>
      <c r="M251" s="10"/>
      <c r="N251" s="14"/>
      <c r="O251" s="15"/>
      <c r="P251" s="16"/>
      <c r="R251" s="2"/>
    </row>
    <row r="252" ht="15.6" spans="2:18">
      <c r="B252" s="8"/>
      <c r="C252" s="9"/>
      <c r="D252" s="9"/>
      <c r="E252" s="8"/>
      <c r="F252" s="8"/>
      <c r="H252" s="10"/>
      <c r="I252" s="8"/>
      <c r="J252" s="13"/>
      <c r="K252" s="10"/>
      <c r="L252" s="10"/>
      <c r="M252" s="10"/>
      <c r="N252" s="14"/>
      <c r="O252" s="15"/>
      <c r="P252" s="16"/>
      <c r="R252" s="2"/>
    </row>
    <row r="253" ht="15.6" spans="2:18">
      <c r="B253" s="8"/>
      <c r="C253" s="9"/>
      <c r="D253" s="9"/>
      <c r="E253" s="8"/>
      <c r="F253" s="8"/>
      <c r="H253" s="10"/>
      <c r="I253" s="8"/>
      <c r="J253" s="13"/>
      <c r="K253" s="10"/>
      <c r="L253" s="10"/>
      <c r="M253" s="10"/>
      <c r="N253" s="14"/>
      <c r="O253" s="15"/>
      <c r="P253" s="16"/>
      <c r="R253" s="2"/>
    </row>
    <row r="254" ht="15.6" spans="2:18">
      <c r="B254" s="8"/>
      <c r="C254" s="9"/>
      <c r="D254" s="9"/>
      <c r="E254" s="8"/>
      <c r="F254" s="8"/>
      <c r="H254" s="10"/>
      <c r="I254" s="8"/>
      <c r="J254" s="13"/>
      <c r="K254" s="10"/>
      <c r="L254" s="10"/>
      <c r="M254" s="10"/>
      <c r="N254" s="14"/>
      <c r="O254" s="15"/>
      <c r="P254" s="16"/>
      <c r="R254" s="2"/>
    </row>
    <row r="255" ht="15.6" spans="2:18">
      <c r="B255" s="8"/>
      <c r="C255" s="9"/>
      <c r="D255" s="9"/>
      <c r="E255" s="8"/>
      <c r="F255" s="8"/>
      <c r="H255" s="10"/>
      <c r="I255" s="8"/>
      <c r="J255" s="13"/>
      <c r="K255" s="10"/>
      <c r="L255" s="10"/>
      <c r="M255" s="10"/>
      <c r="N255" s="14"/>
      <c r="O255" s="15"/>
      <c r="P255" s="16"/>
      <c r="R255" s="2"/>
    </row>
    <row r="256" ht="15.6" spans="2:22">
      <c r="B256" s="8"/>
      <c r="C256" s="9"/>
      <c r="D256" s="9"/>
      <c r="E256" s="8"/>
      <c r="F256" s="8"/>
      <c r="H256" s="10"/>
      <c r="I256" s="8"/>
      <c r="J256" s="13"/>
      <c r="K256" s="10"/>
      <c r="L256" s="10"/>
      <c r="M256" s="10"/>
      <c r="N256" s="14"/>
      <c r="O256" s="15"/>
      <c r="P256" s="16"/>
      <c r="R256" s="2"/>
      <c r="S256" s="8"/>
      <c r="T256" s="8"/>
      <c r="U256" s="8"/>
      <c r="V256" s="8"/>
    </row>
    <row r="257" ht="15.6" spans="2:18">
      <c r="B257" s="8"/>
      <c r="C257" s="9"/>
      <c r="D257" s="9"/>
      <c r="E257" s="8"/>
      <c r="F257" s="8"/>
      <c r="H257" s="10"/>
      <c r="I257" s="8"/>
      <c r="J257" s="13"/>
      <c r="K257" s="10"/>
      <c r="L257" s="10"/>
      <c r="M257" s="10"/>
      <c r="N257" s="14"/>
      <c r="O257" s="15"/>
      <c r="P257" s="16"/>
      <c r="R257" s="2"/>
    </row>
    <row r="258" ht="15.6" spans="2:18">
      <c r="B258" s="8"/>
      <c r="C258" s="9"/>
      <c r="D258" s="9"/>
      <c r="E258" s="8"/>
      <c r="F258" s="8"/>
      <c r="H258" s="10"/>
      <c r="I258" s="8"/>
      <c r="J258" s="13"/>
      <c r="K258" s="10"/>
      <c r="L258" s="10"/>
      <c r="M258" s="10"/>
      <c r="N258" s="14"/>
      <c r="O258" s="15"/>
      <c r="P258" s="16"/>
      <c r="R258" s="2"/>
    </row>
    <row r="259" ht="15.6" spans="2:18">
      <c r="B259" s="8"/>
      <c r="C259" s="9"/>
      <c r="D259" s="9"/>
      <c r="E259" s="8"/>
      <c r="F259" s="8"/>
      <c r="H259" s="10"/>
      <c r="I259" s="8"/>
      <c r="J259" s="13"/>
      <c r="K259" s="10"/>
      <c r="L259" s="10"/>
      <c r="M259" s="10"/>
      <c r="N259" s="14"/>
      <c r="O259" s="15"/>
      <c r="P259" s="16"/>
      <c r="R259" s="2"/>
    </row>
    <row r="260" ht="15.6" spans="2:18">
      <c r="B260" s="8"/>
      <c r="C260" s="9"/>
      <c r="D260" s="9"/>
      <c r="E260" s="8"/>
      <c r="F260" s="8"/>
      <c r="H260" s="10"/>
      <c r="I260" s="8"/>
      <c r="J260" s="13"/>
      <c r="K260" s="10"/>
      <c r="L260" s="10"/>
      <c r="M260" s="10"/>
      <c r="N260" s="14"/>
      <c r="O260" s="15"/>
      <c r="P260" s="16"/>
      <c r="R260" s="2"/>
    </row>
    <row r="261" ht="15.6" spans="2:18">
      <c r="B261" s="8"/>
      <c r="C261" s="9"/>
      <c r="D261" s="9"/>
      <c r="E261" s="8"/>
      <c r="F261" s="8"/>
      <c r="H261" s="10"/>
      <c r="I261" s="8"/>
      <c r="J261" s="13"/>
      <c r="K261" s="10"/>
      <c r="L261" s="10"/>
      <c r="M261" s="10"/>
      <c r="N261" s="14"/>
      <c r="O261" s="15"/>
      <c r="P261" s="16"/>
      <c r="R261" s="2"/>
    </row>
    <row r="262" ht="15.6" spans="2:18">
      <c r="B262" s="8"/>
      <c r="C262" s="9"/>
      <c r="D262" s="9"/>
      <c r="E262" s="8"/>
      <c r="F262" s="8"/>
      <c r="H262" s="10"/>
      <c r="I262" s="8"/>
      <c r="J262" s="13"/>
      <c r="K262" s="10"/>
      <c r="L262" s="10"/>
      <c r="M262" s="10"/>
      <c r="N262" s="14"/>
      <c r="O262" s="15"/>
      <c r="P262" s="16"/>
      <c r="R262" s="2"/>
    </row>
    <row r="263" ht="15.6" spans="2:18">
      <c r="B263" s="8"/>
      <c r="C263" s="9"/>
      <c r="D263" s="9"/>
      <c r="E263" s="8"/>
      <c r="F263" s="8"/>
      <c r="H263" s="10"/>
      <c r="I263" s="8"/>
      <c r="J263" s="13"/>
      <c r="K263" s="10"/>
      <c r="L263" s="10"/>
      <c r="M263" s="10"/>
      <c r="N263" s="14"/>
      <c r="O263" s="15"/>
      <c r="P263" s="16"/>
      <c r="R263" s="2"/>
    </row>
    <row r="264" ht="15.6" spans="2:18">
      <c r="B264" s="8"/>
      <c r="C264" s="9"/>
      <c r="D264" s="9"/>
      <c r="E264" s="8"/>
      <c r="F264" s="8"/>
      <c r="H264" s="10"/>
      <c r="I264" s="8"/>
      <c r="J264" s="13"/>
      <c r="K264" s="10"/>
      <c r="L264" s="10"/>
      <c r="M264" s="10"/>
      <c r="N264" s="14"/>
      <c r="O264" s="15"/>
      <c r="P264" s="16"/>
      <c r="R264" s="2"/>
    </row>
    <row r="265" ht="15.6" spans="2:18">
      <c r="B265" s="8"/>
      <c r="C265" s="9"/>
      <c r="D265" s="9"/>
      <c r="E265" s="8"/>
      <c r="F265" s="8"/>
      <c r="H265" s="10"/>
      <c r="I265" s="8"/>
      <c r="J265" s="13"/>
      <c r="K265" s="10"/>
      <c r="L265" s="10"/>
      <c r="M265" s="10"/>
      <c r="N265" s="14"/>
      <c r="O265" s="15"/>
      <c r="P265" s="16"/>
      <c r="R265" s="2"/>
    </row>
    <row r="266" ht="15.6" spans="2:18">
      <c r="B266" s="8"/>
      <c r="C266" s="9"/>
      <c r="D266" s="9"/>
      <c r="E266" s="8"/>
      <c r="F266" s="8"/>
      <c r="H266" s="10"/>
      <c r="I266" s="8"/>
      <c r="J266" s="13"/>
      <c r="K266" s="10"/>
      <c r="L266" s="10"/>
      <c r="M266" s="10"/>
      <c r="N266" s="14"/>
      <c r="O266" s="15"/>
      <c r="P266" s="16"/>
      <c r="R266" s="2"/>
    </row>
    <row r="267" ht="15.6" spans="2:22">
      <c r="B267" s="8"/>
      <c r="C267" s="9"/>
      <c r="D267" s="9"/>
      <c r="E267" s="8"/>
      <c r="F267" s="8"/>
      <c r="H267" s="10"/>
      <c r="I267" s="8"/>
      <c r="J267" s="13"/>
      <c r="K267" s="10"/>
      <c r="L267" s="10"/>
      <c r="M267" s="10"/>
      <c r="N267" s="14"/>
      <c r="O267" s="15"/>
      <c r="P267" s="16"/>
      <c r="R267" s="2"/>
      <c r="S267" s="8"/>
      <c r="T267" s="8"/>
      <c r="U267" s="8"/>
      <c r="V267" s="8"/>
    </row>
    <row r="268" ht="15.6" spans="2:18">
      <c r="B268" s="8"/>
      <c r="C268" s="9"/>
      <c r="D268" s="9"/>
      <c r="E268" s="8"/>
      <c r="F268" s="8"/>
      <c r="H268" s="10"/>
      <c r="I268" s="8"/>
      <c r="J268" s="13"/>
      <c r="K268" s="10"/>
      <c r="L268" s="10"/>
      <c r="M268" s="10"/>
      <c r="N268" s="14"/>
      <c r="O268" s="15"/>
      <c r="P268" s="16"/>
      <c r="R268" s="2"/>
    </row>
    <row r="269" ht="15.6" spans="2:18">
      <c r="B269" s="8"/>
      <c r="C269" s="9"/>
      <c r="D269" s="9"/>
      <c r="E269" s="8"/>
      <c r="F269" s="8"/>
      <c r="H269" s="10"/>
      <c r="I269" s="8"/>
      <c r="J269" s="13"/>
      <c r="K269" s="10"/>
      <c r="L269" s="10"/>
      <c r="M269" s="10"/>
      <c r="N269" s="14"/>
      <c r="O269" s="15"/>
      <c r="P269" s="16"/>
      <c r="R269" s="2"/>
    </row>
    <row r="270" ht="15.6" spans="2:18">
      <c r="B270" s="8"/>
      <c r="C270" s="9"/>
      <c r="D270" s="9"/>
      <c r="E270" s="8"/>
      <c r="F270" s="8"/>
      <c r="H270" s="10"/>
      <c r="I270" s="8"/>
      <c r="J270" s="13"/>
      <c r="K270" s="10"/>
      <c r="L270" s="10"/>
      <c r="M270" s="10"/>
      <c r="N270" s="14"/>
      <c r="O270" s="15"/>
      <c r="P270" s="16"/>
      <c r="R270" s="2"/>
    </row>
    <row r="271" ht="15.6" spans="2:18">
      <c r="B271" s="8"/>
      <c r="C271" s="9"/>
      <c r="D271" s="9"/>
      <c r="E271" s="8"/>
      <c r="F271" s="8"/>
      <c r="H271" s="10"/>
      <c r="I271" s="8"/>
      <c r="J271" s="13"/>
      <c r="K271" s="10"/>
      <c r="L271" s="10"/>
      <c r="M271" s="10"/>
      <c r="N271" s="14"/>
      <c r="O271" s="15"/>
      <c r="P271" s="16"/>
      <c r="R271" s="2"/>
    </row>
    <row r="272" ht="15.6" spans="2:18">
      <c r="B272" s="8"/>
      <c r="C272" s="9"/>
      <c r="D272" s="9"/>
      <c r="E272" s="8"/>
      <c r="F272" s="8"/>
      <c r="H272" s="10"/>
      <c r="I272" s="8"/>
      <c r="J272" s="13"/>
      <c r="K272" s="10"/>
      <c r="L272" s="10"/>
      <c r="M272" s="10"/>
      <c r="N272" s="14"/>
      <c r="O272" s="15"/>
      <c r="P272" s="16"/>
      <c r="R272" s="2"/>
    </row>
    <row r="273" ht="15.6" spans="2:18">
      <c r="B273" s="8"/>
      <c r="C273" s="9"/>
      <c r="D273" s="9"/>
      <c r="E273" s="8"/>
      <c r="F273" s="8"/>
      <c r="H273" s="10"/>
      <c r="I273" s="8"/>
      <c r="J273" s="13"/>
      <c r="K273" s="10"/>
      <c r="L273" s="10"/>
      <c r="M273" s="10"/>
      <c r="N273" s="14"/>
      <c r="O273" s="15"/>
      <c r="P273" s="16"/>
      <c r="R273" s="2"/>
    </row>
    <row r="274" ht="15.6" spans="2:18">
      <c r="B274" s="8"/>
      <c r="C274" s="9"/>
      <c r="D274" s="9"/>
      <c r="E274" s="8"/>
      <c r="F274" s="8"/>
      <c r="H274" s="10"/>
      <c r="I274" s="8"/>
      <c r="J274" s="13"/>
      <c r="K274" s="10"/>
      <c r="L274" s="10"/>
      <c r="M274" s="10"/>
      <c r="N274" s="14"/>
      <c r="O274" s="15"/>
      <c r="P274" s="16"/>
      <c r="R274" s="2"/>
    </row>
    <row r="275" ht="15.6" spans="2:18">
      <c r="B275" s="8"/>
      <c r="C275" s="9"/>
      <c r="D275" s="9"/>
      <c r="E275" s="8"/>
      <c r="F275" s="8"/>
      <c r="H275" s="10"/>
      <c r="I275" s="8"/>
      <c r="J275" s="13"/>
      <c r="K275" s="10"/>
      <c r="L275" s="10"/>
      <c r="M275" s="10"/>
      <c r="N275" s="14"/>
      <c r="O275" s="15"/>
      <c r="P275" s="16"/>
      <c r="R275" s="2"/>
    </row>
    <row r="276" ht="15.6" spans="2:18">
      <c r="B276" s="8"/>
      <c r="C276" s="9"/>
      <c r="D276" s="9"/>
      <c r="E276" s="8"/>
      <c r="F276" s="8"/>
      <c r="H276" s="10"/>
      <c r="I276" s="8"/>
      <c r="J276" s="13"/>
      <c r="K276" s="10"/>
      <c r="L276" s="10"/>
      <c r="M276" s="10"/>
      <c r="N276" s="14"/>
      <c r="O276" s="15"/>
      <c r="P276" s="16"/>
      <c r="R276" s="2"/>
    </row>
    <row r="277" ht="15.6" spans="2:18">
      <c r="B277" s="8"/>
      <c r="C277" s="9"/>
      <c r="D277" s="9"/>
      <c r="E277" s="8"/>
      <c r="F277" s="8"/>
      <c r="H277" s="10"/>
      <c r="I277" s="8"/>
      <c r="J277" s="13"/>
      <c r="K277" s="10"/>
      <c r="L277" s="10"/>
      <c r="M277" s="10"/>
      <c r="N277" s="14"/>
      <c r="O277" s="15"/>
      <c r="P277" s="16"/>
      <c r="R277" s="2"/>
    </row>
    <row r="278" ht="15.6" spans="2:22">
      <c r="B278" s="8"/>
      <c r="C278" s="9"/>
      <c r="D278" s="9"/>
      <c r="E278" s="8"/>
      <c r="F278" s="8"/>
      <c r="H278" s="10"/>
      <c r="I278" s="8"/>
      <c r="J278" s="13"/>
      <c r="K278" s="10"/>
      <c r="L278" s="10"/>
      <c r="M278" s="10"/>
      <c r="N278" s="14"/>
      <c r="O278" s="15"/>
      <c r="P278" s="16"/>
      <c r="R278" s="2"/>
      <c r="S278" s="8"/>
      <c r="T278" s="8"/>
      <c r="U278" s="8"/>
      <c r="V278" s="8"/>
    </row>
    <row r="279" ht="15.6" spans="2:18">
      <c r="B279" s="8"/>
      <c r="C279" s="9"/>
      <c r="D279" s="9"/>
      <c r="E279" s="8"/>
      <c r="F279" s="8"/>
      <c r="H279" s="10"/>
      <c r="I279" s="8"/>
      <c r="J279" s="13"/>
      <c r="K279" s="10"/>
      <c r="L279" s="10"/>
      <c r="M279" s="10"/>
      <c r="N279" s="14"/>
      <c r="O279" s="15"/>
      <c r="P279" s="16"/>
      <c r="R279" s="2"/>
    </row>
    <row r="280" ht="15.6" spans="2:18">
      <c r="B280" s="8"/>
      <c r="C280" s="9"/>
      <c r="D280" s="9"/>
      <c r="E280" s="8"/>
      <c r="F280" s="8"/>
      <c r="H280" s="10"/>
      <c r="I280" s="8"/>
      <c r="J280" s="13"/>
      <c r="K280" s="10"/>
      <c r="L280" s="10"/>
      <c r="M280" s="10"/>
      <c r="N280" s="14"/>
      <c r="O280" s="15"/>
      <c r="P280" s="16"/>
      <c r="R280" s="2"/>
    </row>
    <row r="281" ht="15.6" spans="2:18">
      <c r="B281" s="8"/>
      <c r="C281" s="9"/>
      <c r="D281" s="9"/>
      <c r="E281" s="8"/>
      <c r="F281" s="8"/>
      <c r="H281" s="10"/>
      <c r="I281" s="8"/>
      <c r="J281" s="13"/>
      <c r="K281" s="10"/>
      <c r="L281" s="10"/>
      <c r="M281" s="10"/>
      <c r="N281" s="14"/>
      <c r="O281" s="15"/>
      <c r="P281" s="16"/>
      <c r="R281" s="2"/>
    </row>
    <row r="282" ht="15.6" spans="2:18">
      <c r="B282" s="8"/>
      <c r="C282" s="9"/>
      <c r="D282" s="9"/>
      <c r="E282" s="8"/>
      <c r="F282" s="8"/>
      <c r="H282" s="10"/>
      <c r="I282" s="8"/>
      <c r="J282" s="13"/>
      <c r="K282" s="10"/>
      <c r="L282" s="10"/>
      <c r="M282" s="10"/>
      <c r="N282" s="14"/>
      <c r="O282" s="15"/>
      <c r="P282" s="16"/>
      <c r="R282" s="2"/>
    </row>
    <row r="283" ht="15.6" spans="2:18">
      <c r="B283" s="8"/>
      <c r="C283" s="9"/>
      <c r="D283" s="9"/>
      <c r="E283" s="8"/>
      <c r="F283" s="8"/>
      <c r="H283" s="10"/>
      <c r="I283" s="8"/>
      <c r="J283" s="13"/>
      <c r="K283" s="10"/>
      <c r="L283" s="10"/>
      <c r="M283" s="10"/>
      <c r="N283" s="14"/>
      <c r="O283" s="15"/>
      <c r="P283" s="16"/>
      <c r="R283" s="2"/>
    </row>
    <row r="284" ht="15.6" spans="2:18">
      <c r="B284" s="8"/>
      <c r="C284" s="9"/>
      <c r="D284" s="9"/>
      <c r="E284" s="8"/>
      <c r="F284" s="8"/>
      <c r="H284" s="10"/>
      <c r="I284" s="8"/>
      <c r="J284" s="13"/>
      <c r="K284" s="10"/>
      <c r="L284" s="10"/>
      <c r="M284" s="10"/>
      <c r="N284" s="14"/>
      <c r="O284" s="15"/>
      <c r="P284" s="16"/>
      <c r="R284" s="2"/>
    </row>
    <row r="285" ht="15.6" spans="2:18">
      <c r="B285" s="8"/>
      <c r="C285" s="9"/>
      <c r="D285" s="9"/>
      <c r="E285" s="8"/>
      <c r="F285" s="8"/>
      <c r="H285" s="10"/>
      <c r="I285" s="8"/>
      <c r="J285" s="13"/>
      <c r="K285" s="10"/>
      <c r="L285" s="10"/>
      <c r="M285" s="10"/>
      <c r="N285" s="14"/>
      <c r="O285" s="15"/>
      <c r="P285" s="16"/>
      <c r="R285" s="2"/>
    </row>
    <row r="286" ht="15.6" spans="2:18">
      <c r="B286" s="8"/>
      <c r="C286" s="9"/>
      <c r="D286" s="9"/>
      <c r="E286" s="8"/>
      <c r="F286" s="8"/>
      <c r="H286" s="10"/>
      <c r="I286" s="8"/>
      <c r="J286" s="13"/>
      <c r="K286" s="10"/>
      <c r="L286" s="10"/>
      <c r="M286" s="10"/>
      <c r="N286" s="14"/>
      <c r="O286" s="15"/>
      <c r="P286" s="16"/>
      <c r="R286" s="2"/>
    </row>
    <row r="287" ht="15.6" spans="2:18">
      <c r="B287" s="8"/>
      <c r="C287" s="9"/>
      <c r="D287" s="9"/>
      <c r="E287" s="8"/>
      <c r="F287" s="8"/>
      <c r="H287" s="10"/>
      <c r="I287" s="8"/>
      <c r="J287" s="13"/>
      <c r="K287" s="10"/>
      <c r="L287" s="10"/>
      <c r="M287" s="10"/>
      <c r="N287" s="14"/>
      <c r="O287" s="15"/>
      <c r="P287" s="16"/>
      <c r="R287" s="2"/>
    </row>
    <row r="288" ht="15.6" spans="2:18">
      <c r="B288" s="8"/>
      <c r="C288" s="9"/>
      <c r="D288" s="9"/>
      <c r="E288" s="8"/>
      <c r="F288" s="8"/>
      <c r="H288" s="10"/>
      <c r="I288" s="8"/>
      <c r="J288" s="13"/>
      <c r="K288" s="10"/>
      <c r="L288" s="10"/>
      <c r="M288" s="10"/>
      <c r="N288" s="14"/>
      <c r="O288" s="15"/>
      <c r="P288" s="16"/>
      <c r="R288" s="2"/>
    </row>
    <row r="289" ht="15.6" spans="2:22">
      <c r="B289" s="8"/>
      <c r="C289" s="9"/>
      <c r="D289" s="9"/>
      <c r="E289" s="8"/>
      <c r="F289" s="8"/>
      <c r="H289" s="10"/>
      <c r="I289" s="8"/>
      <c r="J289" s="13"/>
      <c r="K289" s="10"/>
      <c r="L289" s="10"/>
      <c r="M289" s="10"/>
      <c r="N289" s="14"/>
      <c r="O289" s="15"/>
      <c r="P289" s="16"/>
      <c r="R289" s="2"/>
      <c r="S289" s="8"/>
      <c r="T289" s="8"/>
      <c r="U289" s="8"/>
      <c r="V289" s="8"/>
    </row>
    <row r="290" ht="15.6" spans="2:18">
      <c r="B290" s="8"/>
      <c r="C290" s="9"/>
      <c r="D290" s="9"/>
      <c r="E290" s="8"/>
      <c r="F290" s="8"/>
      <c r="H290" s="10"/>
      <c r="I290" s="8"/>
      <c r="J290" s="13"/>
      <c r="K290" s="10"/>
      <c r="L290" s="10"/>
      <c r="M290" s="10"/>
      <c r="N290" s="14"/>
      <c r="O290" s="15"/>
      <c r="P290" s="16"/>
      <c r="R290" s="2"/>
    </row>
    <row r="291" ht="15.6" spans="2:18">
      <c r="B291" s="8"/>
      <c r="C291" s="9"/>
      <c r="D291" s="9"/>
      <c r="E291" s="8"/>
      <c r="F291" s="8"/>
      <c r="H291" s="10"/>
      <c r="I291" s="8"/>
      <c r="J291" s="13"/>
      <c r="K291" s="10"/>
      <c r="L291" s="10"/>
      <c r="M291" s="10"/>
      <c r="N291" s="14"/>
      <c r="O291" s="15"/>
      <c r="P291" s="16"/>
      <c r="R291" s="2"/>
    </row>
    <row r="292" ht="15.6" spans="2:18">
      <c r="B292" s="8"/>
      <c r="C292" s="9"/>
      <c r="D292" s="9"/>
      <c r="E292" s="8"/>
      <c r="F292" s="8"/>
      <c r="H292" s="10"/>
      <c r="I292" s="8"/>
      <c r="J292" s="13"/>
      <c r="K292" s="10"/>
      <c r="L292" s="10"/>
      <c r="M292" s="10"/>
      <c r="N292" s="14"/>
      <c r="O292" s="15"/>
      <c r="P292" s="16"/>
      <c r="R292" s="2"/>
    </row>
    <row r="293" ht="15.6" spans="2:18">
      <c r="B293" s="8"/>
      <c r="C293" s="9"/>
      <c r="D293" s="9"/>
      <c r="E293" s="8"/>
      <c r="F293" s="8"/>
      <c r="H293" s="10"/>
      <c r="I293" s="8"/>
      <c r="J293" s="13"/>
      <c r="K293" s="10"/>
      <c r="L293" s="10"/>
      <c r="M293" s="10"/>
      <c r="N293" s="14"/>
      <c r="O293" s="15"/>
      <c r="P293" s="16"/>
      <c r="R293" s="2"/>
    </row>
    <row r="294" ht="15.6" spans="2:18">
      <c r="B294" s="8"/>
      <c r="C294" s="9"/>
      <c r="D294" s="9"/>
      <c r="E294" s="8"/>
      <c r="F294" s="8"/>
      <c r="H294" s="10"/>
      <c r="I294" s="8"/>
      <c r="J294" s="13"/>
      <c r="K294" s="10"/>
      <c r="L294" s="10"/>
      <c r="M294" s="10"/>
      <c r="N294" s="14"/>
      <c r="O294" s="15"/>
      <c r="P294" s="16"/>
      <c r="R294" s="2"/>
    </row>
    <row r="295" ht="15.6" spans="2:22">
      <c r="B295" s="8"/>
      <c r="C295" s="9"/>
      <c r="D295" s="9"/>
      <c r="E295" s="8"/>
      <c r="F295" s="8"/>
      <c r="H295" s="10"/>
      <c r="I295" s="8"/>
      <c r="J295" s="13"/>
      <c r="K295" s="10"/>
      <c r="L295" s="10"/>
      <c r="M295" s="10"/>
      <c r="N295" s="14"/>
      <c r="O295" s="15"/>
      <c r="P295" s="16"/>
      <c r="R295" s="2"/>
      <c r="S295" s="8"/>
      <c r="T295" s="8"/>
      <c r="U295" s="8"/>
      <c r="V295" s="8"/>
    </row>
    <row r="296" ht="15.6" spans="2:18">
      <c r="B296" s="8"/>
      <c r="C296" s="9"/>
      <c r="D296" s="9"/>
      <c r="E296" s="8"/>
      <c r="F296" s="8"/>
      <c r="H296" s="10"/>
      <c r="I296" s="8"/>
      <c r="J296" s="13"/>
      <c r="K296" s="10"/>
      <c r="L296" s="10"/>
      <c r="M296" s="10"/>
      <c r="N296" s="14"/>
      <c r="O296" s="15"/>
      <c r="P296" s="16"/>
      <c r="R296" s="2"/>
    </row>
    <row r="297" ht="15.6" spans="2:18">
      <c r="B297" s="8"/>
      <c r="C297" s="9"/>
      <c r="D297" s="9"/>
      <c r="E297" s="8"/>
      <c r="F297" s="8"/>
      <c r="H297" s="10"/>
      <c r="I297" s="8"/>
      <c r="J297" s="13"/>
      <c r="K297" s="10"/>
      <c r="L297" s="10"/>
      <c r="M297" s="10"/>
      <c r="N297" s="14"/>
      <c r="O297" s="15"/>
      <c r="P297" s="16"/>
      <c r="R297" s="2"/>
    </row>
    <row r="298" ht="15.6" spans="2:18">
      <c r="B298" s="8"/>
      <c r="C298" s="9"/>
      <c r="D298" s="9"/>
      <c r="E298" s="8"/>
      <c r="F298" s="8"/>
      <c r="H298" s="10"/>
      <c r="I298" s="8"/>
      <c r="J298" s="13"/>
      <c r="K298" s="10"/>
      <c r="L298" s="10"/>
      <c r="M298" s="10"/>
      <c r="N298" s="14"/>
      <c r="O298" s="15"/>
      <c r="P298" s="16"/>
      <c r="R298" s="2"/>
    </row>
    <row r="299" ht="15.6" spans="2:18">
      <c r="B299" s="8"/>
      <c r="C299" s="9"/>
      <c r="D299" s="9"/>
      <c r="E299" s="8"/>
      <c r="F299" s="8"/>
      <c r="H299" s="10"/>
      <c r="I299" s="8"/>
      <c r="J299" s="13"/>
      <c r="K299" s="10"/>
      <c r="L299" s="10"/>
      <c r="M299" s="10"/>
      <c r="N299" s="14"/>
      <c r="O299" s="15"/>
      <c r="P299" s="16"/>
      <c r="R299" s="2"/>
    </row>
    <row r="300" ht="15.6" spans="2:18">
      <c r="B300" s="8"/>
      <c r="C300" s="9"/>
      <c r="D300" s="9"/>
      <c r="E300" s="8"/>
      <c r="F300" s="8"/>
      <c r="H300" s="10"/>
      <c r="I300" s="8"/>
      <c r="J300" s="13"/>
      <c r="K300" s="10"/>
      <c r="L300" s="10"/>
      <c r="M300" s="10"/>
      <c r="N300" s="14"/>
      <c r="O300" s="15"/>
      <c r="P300" s="16"/>
      <c r="R300" s="2"/>
    </row>
    <row r="301" ht="15.6" spans="2:18">
      <c r="B301" s="8"/>
      <c r="C301" s="9"/>
      <c r="D301" s="9"/>
      <c r="E301" s="8"/>
      <c r="F301" s="8"/>
      <c r="H301" s="10"/>
      <c r="I301" s="8"/>
      <c r="J301" s="13"/>
      <c r="K301" s="10"/>
      <c r="L301" s="10"/>
      <c r="M301" s="10"/>
      <c r="N301" s="14"/>
      <c r="O301" s="15"/>
      <c r="P301" s="16"/>
      <c r="R301" s="2"/>
    </row>
    <row r="302" ht="15.6" spans="2:18">
      <c r="B302" s="8"/>
      <c r="C302" s="9"/>
      <c r="D302" s="9"/>
      <c r="E302" s="8"/>
      <c r="F302" s="8"/>
      <c r="H302" s="10"/>
      <c r="I302" s="8"/>
      <c r="J302" s="13"/>
      <c r="K302" s="10"/>
      <c r="L302" s="10"/>
      <c r="M302" s="10"/>
      <c r="N302" s="14"/>
      <c r="O302" s="15"/>
      <c r="P302" s="16"/>
      <c r="R302" s="2"/>
    </row>
    <row r="303" ht="15.6" spans="2:18">
      <c r="B303" s="8"/>
      <c r="C303" s="9"/>
      <c r="D303" s="9"/>
      <c r="E303" s="8"/>
      <c r="F303" s="8"/>
      <c r="H303" s="10"/>
      <c r="I303" s="8"/>
      <c r="J303" s="13"/>
      <c r="K303" s="10"/>
      <c r="L303" s="10"/>
      <c r="M303" s="10"/>
      <c r="N303" s="14"/>
      <c r="O303" s="15"/>
      <c r="P303" s="16"/>
      <c r="R303" s="2"/>
    </row>
    <row r="304" ht="15.6" spans="2:18">
      <c r="B304" s="8"/>
      <c r="C304" s="9"/>
      <c r="D304" s="9"/>
      <c r="E304" s="8"/>
      <c r="F304" s="8"/>
      <c r="H304" s="10"/>
      <c r="I304" s="8"/>
      <c r="J304" s="13"/>
      <c r="K304" s="10"/>
      <c r="L304" s="10"/>
      <c r="M304" s="10"/>
      <c r="N304" s="14"/>
      <c r="O304" s="15"/>
      <c r="P304" s="16"/>
      <c r="R304" s="2"/>
    </row>
    <row r="305" ht="15.6" spans="2:18">
      <c r="B305" s="8"/>
      <c r="C305" s="9"/>
      <c r="D305" s="9"/>
      <c r="E305" s="8"/>
      <c r="F305" s="8"/>
      <c r="H305" s="10"/>
      <c r="I305" s="8"/>
      <c r="J305" s="13"/>
      <c r="K305" s="10"/>
      <c r="L305" s="10"/>
      <c r="M305" s="10"/>
      <c r="N305" s="14"/>
      <c r="O305" s="15"/>
      <c r="P305" s="16"/>
      <c r="R305" s="2"/>
    </row>
    <row r="306" ht="15.6" spans="2:22">
      <c r="B306" s="8"/>
      <c r="C306" s="9"/>
      <c r="D306" s="9"/>
      <c r="E306" s="8"/>
      <c r="F306" s="8"/>
      <c r="H306" s="10"/>
      <c r="I306" s="8"/>
      <c r="J306" s="13"/>
      <c r="K306" s="10"/>
      <c r="L306" s="10"/>
      <c r="M306" s="10"/>
      <c r="N306" s="14"/>
      <c r="O306" s="15"/>
      <c r="P306" s="16"/>
      <c r="R306" s="2"/>
      <c r="S306" s="8"/>
      <c r="T306" s="8"/>
      <c r="U306" s="8"/>
      <c r="V306" s="8"/>
    </row>
    <row r="307" ht="15.6" spans="2:18">
      <c r="B307" s="8"/>
      <c r="C307" s="9"/>
      <c r="D307" s="9"/>
      <c r="E307" s="8"/>
      <c r="F307" s="8"/>
      <c r="H307" s="10"/>
      <c r="I307" s="8"/>
      <c r="J307" s="13"/>
      <c r="K307" s="10"/>
      <c r="L307" s="10"/>
      <c r="M307" s="10"/>
      <c r="N307" s="14"/>
      <c r="O307" s="15"/>
      <c r="P307" s="16"/>
      <c r="R307" s="2"/>
    </row>
    <row r="308" ht="15.6" spans="2:18">
      <c r="B308" s="8"/>
      <c r="C308" s="9"/>
      <c r="D308" s="9"/>
      <c r="E308" s="8"/>
      <c r="F308" s="8"/>
      <c r="H308" s="10"/>
      <c r="I308" s="8"/>
      <c r="J308" s="13"/>
      <c r="K308" s="10"/>
      <c r="L308" s="10"/>
      <c r="M308" s="10"/>
      <c r="N308" s="14"/>
      <c r="O308" s="15"/>
      <c r="P308" s="16"/>
      <c r="R308" s="2"/>
    </row>
    <row r="309" ht="15.6" spans="2:18">
      <c r="B309" s="8"/>
      <c r="C309" s="9"/>
      <c r="D309" s="9"/>
      <c r="E309" s="8"/>
      <c r="F309" s="8"/>
      <c r="H309" s="10"/>
      <c r="I309" s="8"/>
      <c r="J309" s="13"/>
      <c r="K309" s="10"/>
      <c r="L309" s="10"/>
      <c r="M309" s="10"/>
      <c r="N309" s="14"/>
      <c r="O309" s="15"/>
      <c r="P309" s="16"/>
      <c r="R309" s="2"/>
    </row>
    <row r="310" ht="15.6" spans="2:18">
      <c r="B310" s="8"/>
      <c r="C310" s="9"/>
      <c r="D310" s="9"/>
      <c r="E310" s="8"/>
      <c r="F310" s="8"/>
      <c r="H310" s="10"/>
      <c r="I310" s="8"/>
      <c r="J310" s="13"/>
      <c r="K310" s="10"/>
      <c r="L310" s="10"/>
      <c r="M310" s="10"/>
      <c r="N310" s="14"/>
      <c r="O310" s="15"/>
      <c r="P310" s="16"/>
      <c r="R310" s="2"/>
    </row>
    <row r="311" ht="15.6" spans="2:18">
      <c r="B311" s="8"/>
      <c r="C311" s="9"/>
      <c r="D311" s="9"/>
      <c r="E311" s="8"/>
      <c r="F311" s="8"/>
      <c r="H311" s="10"/>
      <c r="I311" s="8"/>
      <c r="J311" s="13"/>
      <c r="K311" s="10"/>
      <c r="L311" s="10"/>
      <c r="M311" s="10"/>
      <c r="N311" s="14"/>
      <c r="O311" s="15"/>
      <c r="P311" s="16"/>
      <c r="R311" s="2"/>
    </row>
    <row r="312" ht="15.6" spans="2:18">
      <c r="B312" s="8"/>
      <c r="C312" s="9"/>
      <c r="D312" s="9"/>
      <c r="E312" s="8"/>
      <c r="F312" s="8"/>
      <c r="H312" s="10"/>
      <c r="I312" s="8"/>
      <c r="J312" s="13"/>
      <c r="K312" s="10"/>
      <c r="L312" s="10"/>
      <c r="M312" s="10"/>
      <c r="N312" s="14"/>
      <c r="O312" s="15"/>
      <c r="P312" s="16"/>
      <c r="R312" s="2"/>
    </row>
    <row r="313" ht="15.6" spans="2:18">
      <c r="B313" s="8"/>
      <c r="C313" s="9"/>
      <c r="D313" s="9"/>
      <c r="E313" s="8"/>
      <c r="F313" s="8"/>
      <c r="H313" s="10"/>
      <c r="I313" s="8"/>
      <c r="J313" s="13"/>
      <c r="K313" s="10"/>
      <c r="L313" s="10"/>
      <c r="M313" s="10"/>
      <c r="N313" s="14"/>
      <c r="O313" s="15"/>
      <c r="P313" s="16"/>
      <c r="R313" s="2"/>
    </row>
    <row r="314" ht="15.6" spans="2:18">
      <c r="B314" s="8"/>
      <c r="C314" s="9"/>
      <c r="D314" s="9"/>
      <c r="E314" s="8"/>
      <c r="F314" s="8"/>
      <c r="H314" s="10"/>
      <c r="I314" s="8"/>
      <c r="J314" s="13"/>
      <c r="K314" s="10"/>
      <c r="L314" s="10"/>
      <c r="M314" s="10"/>
      <c r="N314" s="14"/>
      <c r="O314" s="15"/>
      <c r="P314" s="16"/>
      <c r="R314" s="2"/>
    </row>
    <row r="315" ht="15.6" spans="2:18">
      <c r="B315" s="8"/>
      <c r="C315" s="9"/>
      <c r="D315" s="9"/>
      <c r="E315" s="8"/>
      <c r="F315" s="8"/>
      <c r="H315" s="10"/>
      <c r="I315" s="8"/>
      <c r="J315" s="13"/>
      <c r="K315" s="10"/>
      <c r="L315" s="10"/>
      <c r="M315" s="10"/>
      <c r="N315" s="14"/>
      <c r="O315" s="15"/>
      <c r="P315" s="16"/>
      <c r="R315" s="2"/>
    </row>
    <row r="316" ht="15.6" spans="2:18">
      <c r="B316" s="8"/>
      <c r="C316" s="9"/>
      <c r="D316" s="9"/>
      <c r="E316" s="8"/>
      <c r="F316" s="8"/>
      <c r="H316" s="10"/>
      <c r="I316" s="8"/>
      <c r="J316" s="13"/>
      <c r="K316" s="10"/>
      <c r="L316" s="10"/>
      <c r="M316" s="10"/>
      <c r="N316" s="14"/>
      <c r="O316" s="15"/>
      <c r="P316" s="16"/>
      <c r="R316" s="2"/>
    </row>
    <row r="317" ht="15.6" spans="2:22">
      <c r="B317" s="8"/>
      <c r="C317" s="9"/>
      <c r="D317" s="9"/>
      <c r="E317" s="8"/>
      <c r="F317" s="8"/>
      <c r="H317" s="10"/>
      <c r="I317" s="8"/>
      <c r="J317" s="13"/>
      <c r="K317" s="10"/>
      <c r="L317" s="10"/>
      <c r="M317" s="10"/>
      <c r="N317" s="14"/>
      <c r="O317" s="15"/>
      <c r="P317" s="16"/>
      <c r="R317" s="2"/>
      <c r="S317" s="8"/>
      <c r="T317" s="8"/>
      <c r="U317" s="8"/>
      <c r="V317" s="8"/>
    </row>
    <row r="318" ht="15.6" spans="2:18">
      <c r="B318" s="8"/>
      <c r="C318" s="9"/>
      <c r="D318" s="9"/>
      <c r="E318" s="8"/>
      <c r="F318" s="8"/>
      <c r="H318" s="10"/>
      <c r="I318" s="8"/>
      <c r="J318" s="13"/>
      <c r="K318" s="10"/>
      <c r="L318" s="10"/>
      <c r="M318" s="10"/>
      <c r="N318" s="14"/>
      <c r="O318" s="15"/>
      <c r="P318" s="16"/>
      <c r="R318" s="2"/>
    </row>
    <row r="319" ht="15.6" spans="2:18">
      <c r="B319" s="8"/>
      <c r="C319" s="9"/>
      <c r="D319" s="9"/>
      <c r="E319" s="8"/>
      <c r="F319" s="8"/>
      <c r="H319" s="10"/>
      <c r="I319" s="8"/>
      <c r="J319" s="13"/>
      <c r="K319" s="10"/>
      <c r="L319" s="10"/>
      <c r="M319" s="10"/>
      <c r="N319" s="14"/>
      <c r="O319" s="15"/>
      <c r="P319" s="16"/>
      <c r="R319" s="2"/>
    </row>
    <row r="320" ht="15.6" spans="2:18">
      <c r="B320" s="8"/>
      <c r="C320" s="9"/>
      <c r="D320" s="9"/>
      <c r="E320" s="8"/>
      <c r="F320" s="8"/>
      <c r="H320" s="10"/>
      <c r="I320" s="8"/>
      <c r="J320" s="13"/>
      <c r="K320" s="10"/>
      <c r="L320" s="10"/>
      <c r="M320" s="10"/>
      <c r="N320" s="14"/>
      <c r="O320" s="15"/>
      <c r="P320" s="16"/>
      <c r="R320" s="2"/>
    </row>
    <row r="321" ht="15.6" spans="2:18">
      <c r="B321" s="8"/>
      <c r="C321" s="9"/>
      <c r="D321" s="9"/>
      <c r="E321" s="8"/>
      <c r="F321" s="8"/>
      <c r="H321" s="10"/>
      <c r="I321" s="8"/>
      <c r="J321" s="13"/>
      <c r="K321" s="10"/>
      <c r="L321" s="10"/>
      <c r="M321" s="10"/>
      <c r="N321" s="14"/>
      <c r="O321" s="15"/>
      <c r="P321" s="16"/>
      <c r="R321" s="2"/>
    </row>
    <row r="322" ht="15.6" spans="2:18">
      <c r="B322" s="8"/>
      <c r="C322" s="9"/>
      <c r="D322" s="9"/>
      <c r="E322" s="8"/>
      <c r="F322" s="8"/>
      <c r="H322" s="10"/>
      <c r="I322" s="8"/>
      <c r="J322" s="13"/>
      <c r="K322" s="10"/>
      <c r="L322" s="10"/>
      <c r="M322" s="10"/>
      <c r="N322" s="14"/>
      <c r="O322" s="15"/>
      <c r="P322" s="16"/>
      <c r="R322" s="2"/>
    </row>
    <row r="323" ht="15.6" spans="2:18">
      <c r="B323" s="8"/>
      <c r="C323" s="9"/>
      <c r="D323" s="9"/>
      <c r="E323" s="8"/>
      <c r="F323" s="8"/>
      <c r="H323" s="10"/>
      <c r="I323" s="8"/>
      <c r="J323" s="13"/>
      <c r="K323" s="10"/>
      <c r="L323" s="10"/>
      <c r="M323" s="10"/>
      <c r="N323" s="14"/>
      <c r="O323" s="15"/>
      <c r="P323" s="16"/>
      <c r="R323" s="2"/>
    </row>
    <row r="324" ht="15.6" spans="2:18">
      <c r="B324" s="8"/>
      <c r="C324" s="9"/>
      <c r="D324" s="9"/>
      <c r="E324" s="8"/>
      <c r="F324" s="8"/>
      <c r="H324" s="10"/>
      <c r="I324" s="8"/>
      <c r="J324" s="13"/>
      <c r="K324" s="10"/>
      <c r="L324" s="10"/>
      <c r="M324" s="10"/>
      <c r="N324" s="14"/>
      <c r="O324" s="15"/>
      <c r="P324" s="16"/>
      <c r="R324" s="2"/>
    </row>
    <row r="325" ht="15.6" spans="2:18">
      <c r="B325" s="8"/>
      <c r="C325" s="9"/>
      <c r="D325" s="9"/>
      <c r="E325" s="8"/>
      <c r="F325" s="8"/>
      <c r="H325" s="10"/>
      <c r="I325" s="8"/>
      <c r="J325" s="13"/>
      <c r="K325" s="10"/>
      <c r="L325" s="10"/>
      <c r="M325" s="10"/>
      <c r="N325" s="14"/>
      <c r="O325" s="15"/>
      <c r="P325" s="16"/>
      <c r="R325" s="2"/>
    </row>
    <row r="326" ht="15.6" spans="2:18">
      <c r="B326" s="8"/>
      <c r="C326" s="9"/>
      <c r="D326" s="9"/>
      <c r="E326" s="8"/>
      <c r="F326" s="8"/>
      <c r="H326" s="10"/>
      <c r="I326" s="8"/>
      <c r="J326" s="13"/>
      <c r="K326" s="10"/>
      <c r="L326" s="10"/>
      <c r="M326" s="10"/>
      <c r="N326" s="14"/>
      <c r="O326" s="15"/>
      <c r="P326" s="16"/>
      <c r="R326" s="2"/>
    </row>
    <row r="327" ht="15.6" spans="2:18">
      <c r="B327" s="8"/>
      <c r="C327" s="9"/>
      <c r="D327" s="9"/>
      <c r="E327" s="8"/>
      <c r="F327" s="8"/>
      <c r="H327" s="10"/>
      <c r="I327" s="8"/>
      <c r="J327" s="13"/>
      <c r="K327" s="10"/>
      <c r="L327" s="10"/>
      <c r="M327" s="10"/>
      <c r="N327" s="14"/>
      <c r="O327" s="15"/>
      <c r="P327" s="16"/>
      <c r="R327" s="2"/>
    </row>
    <row r="328" ht="15.6" spans="2:22">
      <c r="B328" s="8"/>
      <c r="C328" s="9"/>
      <c r="D328" s="9"/>
      <c r="E328" s="8"/>
      <c r="F328" s="8"/>
      <c r="H328" s="10"/>
      <c r="I328" s="8"/>
      <c r="J328" s="13"/>
      <c r="K328" s="10"/>
      <c r="L328" s="10"/>
      <c r="M328" s="10"/>
      <c r="N328" s="14"/>
      <c r="O328" s="15"/>
      <c r="P328" s="16"/>
      <c r="R328" s="2"/>
      <c r="S328" s="8"/>
      <c r="T328" s="8"/>
      <c r="U328" s="8"/>
      <c r="V328" s="8"/>
    </row>
    <row r="329" ht="15.6" spans="2:18">
      <c r="B329" s="8"/>
      <c r="C329" s="9"/>
      <c r="D329" s="9"/>
      <c r="E329" s="8"/>
      <c r="F329" s="8"/>
      <c r="H329" s="10"/>
      <c r="I329" s="8"/>
      <c r="J329" s="13"/>
      <c r="K329" s="10"/>
      <c r="L329" s="10"/>
      <c r="M329" s="10"/>
      <c r="N329" s="14"/>
      <c r="O329" s="15"/>
      <c r="P329" s="16"/>
      <c r="R329" s="2"/>
    </row>
    <row r="330" ht="15.6" spans="2:18">
      <c r="B330" s="8"/>
      <c r="C330" s="9"/>
      <c r="D330" s="9"/>
      <c r="E330" s="8"/>
      <c r="F330" s="8"/>
      <c r="H330" s="10"/>
      <c r="I330" s="8"/>
      <c r="J330" s="13"/>
      <c r="K330" s="10"/>
      <c r="L330" s="10"/>
      <c r="M330" s="10"/>
      <c r="N330" s="14"/>
      <c r="O330" s="15"/>
      <c r="P330" s="16"/>
      <c r="R330" s="2"/>
    </row>
    <row r="331" ht="15.6" spans="2:18">
      <c r="B331" s="8"/>
      <c r="C331" s="9"/>
      <c r="D331" s="9"/>
      <c r="E331" s="8"/>
      <c r="F331" s="8"/>
      <c r="H331" s="10"/>
      <c r="I331" s="8"/>
      <c r="J331" s="13"/>
      <c r="K331" s="10"/>
      <c r="L331" s="10"/>
      <c r="M331" s="10"/>
      <c r="N331" s="14"/>
      <c r="O331" s="15"/>
      <c r="P331" s="16"/>
      <c r="R331" s="2"/>
    </row>
    <row r="332" ht="15.6" spans="2:18">
      <c r="B332" s="8"/>
      <c r="C332" s="9"/>
      <c r="D332" s="9"/>
      <c r="E332" s="8"/>
      <c r="F332" s="8"/>
      <c r="H332" s="10"/>
      <c r="I332" s="8"/>
      <c r="J332" s="13"/>
      <c r="K332" s="10"/>
      <c r="L332" s="10"/>
      <c r="M332" s="10"/>
      <c r="N332" s="14"/>
      <c r="O332" s="15"/>
      <c r="P332" s="16"/>
      <c r="R332" s="2"/>
    </row>
    <row r="333" ht="15.6" spans="2:18">
      <c r="B333" s="8"/>
      <c r="C333" s="9"/>
      <c r="D333" s="9"/>
      <c r="E333" s="8"/>
      <c r="F333" s="8"/>
      <c r="H333" s="10"/>
      <c r="I333" s="8"/>
      <c r="J333" s="13"/>
      <c r="K333" s="10"/>
      <c r="L333" s="10"/>
      <c r="M333" s="10"/>
      <c r="N333" s="14"/>
      <c r="O333" s="15"/>
      <c r="P333" s="16"/>
      <c r="R333" s="2"/>
    </row>
    <row r="334" ht="15.6" spans="2:18">
      <c r="B334" s="8"/>
      <c r="C334" s="9"/>
      <c r="D334" s="9"/>
      <c r="E334" s="8"/>
      <c r="F334" s="8"/>
      <c r="H334" s="10"/>
      <c r="I334" s="8"/>
      <c r="J334" s="13"/>
      <c r="K334" s="10"/>
      <c r="L334" s="10"/>
      <c r="M334" s="10"/>
      <c r="N334" s="14"/>
      <c r="O334" s="15"/>
      <c r="P334" s="16"/>
      <c r="R334" s="2"/>
    </row>
    <row r="335" ht="15.6" spans="2:18">
      <c r="B335" s="8"/>
      <c r="C335" s="9"/>
      <c r="D335" s="9"/>
      <c r="E335" s="8"/>
      <c r="F335" s="8"/>
      <c r="H335" s="10"/>
      <c r="I335" s="8"/>
      <c r="J335" s="13"/>
      <c r="K335" s="10"/>
      <c r="L335" s="10"/>
      <c r="M335" s="10"/>
      <c r="N335" s="14"/>
      <c r="O335" s="15"/>
      <c r="P335" s="16"/>
      <c r="R335" s="2"/>
    </row>
    <row r="336" ht="15.6" spans="2:18">
      <c r="B336" s="8"/>
      <c r="C336" s="9"/>
      <c r="D336" s="9"/>
      <c r="E336" s="8"/>
      <c r="F336" s="8"/>
      <c r="H336" s="10"/>
      <c r="I336" s="8"/>
      <c r="J336" s="13"/>
      <c r="K336" s="10"/>
      <c r="L336" s="10"/>
      <c r="M336" s="10"/>
      <c r="N336" s="14"/>
      <c r="O336" s="15"/>
      <c r="P336" s="16"/>
      <c r="R336" s="2"/>
    </row>
    <row r="337" ht="15.6" spans="2:18">
      <c r="B337" s="8"/>
      <c r="C337" s="9"/>
      <c r="D337" s="9"/>
      <c r="E337" s="8"/>
      <c r="F337" s="8"/>
      <c r="H337" s="10"/>
      <c r="I337" s="8"/>
      <c r="J337" s="13"/>
      <c r="K337" s="10"/>
      <c r="L337" s="10"/>
      <c r="M337" s="10"/>
      <c r="N337" s="14"/>
      <c r="O337" s="15"/>
      <c r="P337" s="16"/>
      <c r="R337" s="2"/>
    </row>
    <row r="338" ht="15.6" spans="2:18">
      <c r="B338" s="8"/>
      <c r="C338" s="9"/>
      <c r="D338" s="9"/>
      <c r="E338" s="8"/>
      <c r="F338" s="8"/>
      <c r="H338" s="10"/>
      <c r="I338" s="8"/>
      <c r="J338" s="13"/>
      <c r="K338" s="10"/>
      <c r="L338" s="10"/>
      <c r="M338" s="10"/>
      <c r="N338" s="14"/>
      <c r="O338" s="15"/>
      <c r="P338" s="16"/>
      <c r="R338" s="2"/>
    </row>
    <row r="339" ht="15.6" spans="2:22">
      <c r="B339" s="8"/>
      <c r="C339" s="9"/>
      <c r="D339" s="9"/>
      <c r="E339" s="8"/>
      <c r="F339" s="8"/>
      <c r="H339" s="10"/>
      <c r="I339" s="8"/>
      <c r="J339" s="13"/>
      <c r="K339" s="10"/>
      <c r="L339" s="10"/>
      <c r="M339" s="10"/>
      <c r="N339" s="14"/>
      <c r="O339" s="15"/>
      <c r="P339" s="16"/>
      <c r="R339" s="2"/>
      <c r="S339" s="8"/>
      <c r="T339" s="8"/>
      <c r="U339" s="8"/>
      <c r="V339" s="8"/>
    </row>
    <row r="340" ht="15.6" spans="2:18">
      <c r="B340" s="8"/>
      <c r="C340" s="9"/>
      <c r="D340" s="9"/>
      <c r="E340" s="8"/>
      <c r="F340" s="8"/>
      <c r="H340" s="10"/>
      <c r="I340" s="8"/>
      <c r="J340" s="13"/>
      <c r="K340" s="10"/>
      <c r="L340" s="10"/>
      <c r="M340" s="10"/>
      <c r="N340" s="14"/>
      <c r="O340" s="15"/>
      <c r="P340" s="16"/>
      <c r="R340" s="2"/>
    </row>
    <row r="341" ht="15.6" spans="2:18">
      <c r="B341" s="8"/>
      <c r="C341" s="9"/>
      <c r="D341" s="9"/>
      <c r="E341" s="8"/>
      <c r="F341" s="8"/>
      <c r="H341" s="10"/>
      <c r="I341" s="8"/>
      <c r="J341" s="13"/>
      <c r="K341" s="10"/>
      <c r="L341" s="10"/>
      <c r="M341" s="10"/>
      <c r="N341" s="14"/>
      <c r="O341" s="15"/>
      <c r="P341" s="16"/>
      <c r="R341" s="2"/>
    </row>
    <row r="342" ht="15.6" spans="2:18">
      <c r="B342" s="8"/>
      <c r="C342" s="9"/>
      <c r="D342" s="9"/>
      <c r="E342" s="8"/>
      <c r="F342" s="8"/>
      <c r="H342" s="10"/>
      <c r="I342" s="8"/>
      <c r="J342" s="13"/>
      <c r="K342" s="10"/>
      <c r="L342" s="10"/>
      <c r="M342" s="10"/>
      <c r="N342" s="14"/>
      <c r="O342" s="15"/>
      <c r="P342" s="16"/>
      <c r="R342" s="2"/>
    </row>
    <row r="343" ht="15.6" spans="2:18">
      <c r="B343" s="8"/>
      <c r="C343" s="9"/>
      <c r="D343" s="9"/>
      <c r="E343" s="8"/>
      <c r="F343" s="8"/>
      <c r="H343" s="10"/>
      <c r="I343" s="8"/>
      <c r="J343" s="13"/>
      <c r="K343" s="10"/>
      <c r="L343" s="10"/>
      <c r="M343" s="10"/>
      <c r="N343" s="14"/>
      <c r="O343" s="15"/>
      <c r="P343" s="16"/>
      <c r="R343" s="2"/>
    </row>
    <row r="344" ht="15.6" spans="2:18">
      <c r="B344" s="8"/>
      <c r="C344" s="9"/>
      <c r="D344" s="9"/>
      <c r="E344" s="8"/>
      <c r="F344" s="8"/>
      <c r="H344" s="10"/>
      <c r="I344" s="8"/>
      <c r="J344" s="13"/>
      <c r="K344" s="10"/>
      <c r="L344" s="10"/>
      <c r="M344" s="10"/>
      <c r="N344" s="14"/>
      <c r="O344" s="15"/>
      <c r="P344" s="16"/>
      <c r="R344" s="2"/>
    </row>
    <row r="345" ht="15.6" spans="2:18">
      <c r="B345" s="8"/>
      <c r="C345" s="9"/>
      <c r="D345" s="9"/>
      <c r="E345" s="8"/>
      <c r="F345" s="8"/>
      <c r="H345" s="10"/>
      <c r="I345" s="8"/>
      <c r="J345" s="13"/>
      <c r="K345" s="10"/>
      <c r="L345" s="10"/>
      <c r="M345" s="10"/>
      <c r="N345" s="14"/>
      <c r="O345" s="15"/>
      <c r="P345" s="16"/>
      <c r="R345" s="2"/>
    </row>
    <row r="346" ht="15.6" spans="2:18">
      <c r="B346" s="8"/>
      <c r="C346" s="9"/>
      <c r="D346" s="9"/>
      <c r="E346" s="8"/>
      <c r="F346" s="8"/>
      <c r="H346" s="10"/>
      <c r="I346" s="8"/>
      <c r="J346" s="13"/>
      <c r="K346" s="10"/>
      <c r="L346" s="10"/>
      <c r="M346" s="10"/>
      <c r="N346" s="14"/>
      <c r="O346" s="15"/>
      <c r="P346" s="16"/>
      <c r="R346" s="2"/>
    </row>
    <row r="347" ht="15.6" spans="2:18">
      <c r="B347" s="8"/>
      <c r="C347" s="9"/>
      <c r="D347" s="9"/>
      <c r="E347" s="8"/>
      <c r="F347" s="8"/>
      <c r="H347" s="10"/>
      <c r="I347" s="8"/>
      <c r="J347" s="13"/>
      <c r="K347" s="10"/>
      <c r="L347" s="10"/>
      <c r="M347" s="10"/>
      <c r="N347" s="14"/>
      <c r="O347" s="15"/>
      <c r="P347" s="16"/>
      <c r="R347" s="2"/>
    </row>
    <row r="348" ht="15.6" spans="2:18">
      <c r="B348" s="8"/>
      <c r="C348" s="9"/>
      <c r="D348" s="9"/>
      <c r="E348" s="8"/>
      <c r="F348" s="8"/>
      <c r="H348" s="10"/>
      <c r="I348" s="8"/>
      <c r="J348" s="13"/>
      <c r="K348" s="10"/>
      <c r="L348" s="10"/>
      <c r="M348" s="10"/>
      <c r="N348" s="14"/>
      <c r="O348" s="15"/>
      <c r="P348" s="16"/>
      <c r="R348" s="2"/>
    </row>
    <row r="349" ht="15.6" spans="2:18">
      <c r="B349" s="8"/>
      <c r="C349" s="9"/>
      <c r="D349" s="9"/>
      <c r="E349" s="8"/>
      <c r="F349" s="8"/>
      <c r="H349" s="10"/>
      <c r="I349" s="8"/>
      <c r="J349" s="13"/>
      <c r="K349" s="10"/>
      <c r="L349" s="10"/>
      <c r="M349" s="10"/>
      <c r="N349" s="14"/>
      <c r="O349" s="15"/>
      <c r="P349" s="16"/>
      <c r="R349" s="2"/>
    </row>
    <row r="350" ht="15.6" spans="2:22">
      <c r="B350" s="8"/>
      <c r="C350" s="9"/>
      <c r="D350" s="9"/>
      <c r="E350" s="8"/>
      <c r="F350" s="8"/>
      <c r="H350" s="10"/>
      <c r="I350" s="8"/>
      <c r="J350" s="13"/>
      <c r="K350" s="10"/>
      <c r="L350" s="10"/>
      <c r="M350" s="10"/>
      <c r="N350" s="14"/>
      <c r="O350" s="15"/>
      <c r="P350" s="16"/>
      <c r="R350" s="2"/>
      <c r="S350" s="8"/>
      <c r="T350" s="8"/>
      <c r="U350" s="8"/>
      <c r="V350" s="8"/>
    </row>
    <row r="351" ht="15.6" spans="2:18">
      <c r="B351" s="8"/>
      <c r="C351" s="9"/>
      <c r="D351" s="9"/>
      <c r="E351" s="8"/>
      <c r="F351" s="8"/>
      <c r="H351" s="10"/>
      <c r="I351" s="8"/>
      <c r="J351" s="13"/>
      <c r="K351" s="10"/>
      <c r="L351" s="10"/>
      <c r="M351" s="10"/>
      <c r="N351" s="14"/>
      <c r="O351" s="15"/>
      <c r="P351" s="16"/>
      <c r="R351" s="2"/>
    </row>
    <row r="352" ht="15.6" spans="2:18">
      <c r="B352" s="8"/>
      <c r="C352" s="9"/>
      <c r="D352" s="9"/>
      <c r="E352" s="8"/>
      <c r="F352" s="8"/>
      <c r="H352" s="10"/>
      <c r="I352" s="8"/>
      <c r="J352" s="13"/>
      <c r="K352" s="10"/>
      <c r="L352" s="10"/>
      <c r="M352" s="10"/>
      <c r="N352" s="14"/>
      <c r="O352" s="15"/>
      <c r="P352" s="16"/>
      <c r="R352" s="2"/>
    </row>
    <row r="353" ht="15.6" spans="2:18">
      <c r="B353" s="8"/>
      <c r="C353" s="9"/>
      <c r="D353" s="9"/>
      <c r="E353" s="8"/>
      <c r="F353" s="8"/>
      <c r="H353" s="10"/>
      <c r="I353" s="8"/>
      <c r="J353" s="13"/>
      <c r="K353" s="10"/>
      <c r="L353" s="10"/>
      <c r="M353" s="10"/>
      <c r="N353" s="14"/>
      <c r="O353" s="15"/>
      <c r="P353" s="16"/>
      <c r="R353" s="2"/>
    </row>
    <row r="354" ht="15.6" spans="2:18">
      <c r="B354" s="8"/>
      <c r="C354" s="9"/>
      <c r="D354" s="9"/>
      <c r="E354" s="8"/>
      <c r="F354" s="8"/>
      <c r="H354" s="10"/>
      <c r="I354" s="8"/>
      <c r="J354" s="13"/>
      <c r="K354" s="10"/>
      <c r="L354" s="10"/>
      <c r="M354" s="10"/>
      <c r="N354" s="14"/>
      <c r="O354" s="15"/>
      <c r="P354" s="16"/>
      <c r="R354" s="2"/>
    </row>
    <row r="355" ht="15.6" spans="2:18">
      <c r="B355" s="8"/>
      <c r="C355" s="9"/>
      <c r="D355" s="9"/>
      <c r="E355" s="8"/>
      <c r="F355" s="8"/>
      <c r="H355" s="10"/>
      <c r="I355" s="8"/>
      <c r="J355" s="13"/>
      <c r="K355" s="10"/>
      <c r="L355" s="10"/>
      <c r="M355" s="10"/>
      <c r="N355" s="14"/>
      <c r="O355" s="15"/>
      <c r="P355" s="16"/>
      <c r="R355" s="2"/>
    </row>
    <row r="356" ht="15.6" spans="2:22">
      <c r="B356" s="8"/>
      <c r="C356" s="9"/>
      <c r="D356" s="9"/>
      <c r="E356" s="8"/>
      <c r="F356" s="8"/>
      <c r="H356" s="10"/>
      <c r="I356" s="8"/>
      <c r="J356" s="13"/>
      <c r="K356" s="10"/>
      <c r="L356" s="10"/>
      <c r="M356" s="10"/>
      <c r="N356" s="14"/>
      <c r="O356" s="15"/>
      <c r="P356" s="16"/>
      <c r="R356" s="2"/>
      <c r="S356" s="8"/>
      <c r="T356" s="8"/>
      <c r="U356" s="8"/>
      <c r="V356" s="8"/>
    </row>
    <row r="357" ht="15.6" spans="2:18">
      <c r="B357" s="8"/>
      <c r="C357" s="9"/>
      <c r="D357" s="9"/>
      <c r="E357" s="8"/>
      <c r="F357" s="8"/>
      <c r="H357" s="10"/>
      <c r="I357" s="8"/>
      <c r="J357" s="13"/>
      <c r="K357" s="10"/>
      <c r="L357" s="10"/>
      <c r="M357" s="10"/>
      <c r="N357" s="14"/>
      <c r="O357" s="15"/>
      <c r="P357" s="16"/>
      <c r="R357" s="2"/>
    </row>
    <row r="358" ht="15.6" spans="2:18">
      <c r="B358" s="8"/>
      <c r="C358" s="9"/>
      <c r="D358" s="9"/>
      <c r="E358" s="8"/>
      <c r="F358" s="8"/>
      <c r="H358" s="10"/>
      <c r="I358" s="8"/>
      <c r="J358" s="13"/>
      <c r="K358" s="10"/>
      <c r="L358" s="10"/>
      <c r="M358" s="10"/>
      <c r="N358" s="14"/>
      <c r="O358" s="15"/>
      <c r="P358" s="16"/>
      <c r="R358" s="2"/>
    </row>
    <row r="359" ht="15.6" spans="2:18">
      <c r="B359" s="8"/>
      <c r="C359" s="9"/>
      <c r="D359" s="9"/>
      <c r="E359" s="8"/>
      <c r="F359" s="8"/>
      <c r="H359" s="10"/>
      <c r="I359" s="8"/>
      <c r="J359" s="13"/>
      <c r="K359" s="10"/>
      <c r="L359" s="10"/>
      <c r="M359" s="10"/>
      <c r="N359" s="14"/>
      <c r="O359" s="15"/>
      <c r="P359" s="16"/>
      <c r="R359" s="2"/>
    </row>
    <row r="360" ht="15.6" spans="2:18">
      <c r="B360" s="8"/>
      <c r="C360" s="9"/>
      <c r="D360" s="9"/>
      <c r="E360" s="8"/>
      <c r="F360" s="8"/>
      <c r="H360" s="10"/>
      <c r="I360" s="8"/>
      <c r="J360" s="13"/>
      <c r="K360" s="10"/>
      <c r="L360" s="10"/>
      <c r="M360" s="10"/>
      <c r="N360" s="14"/>
      <c r="O360" s="15"/>
      <c r="P360" s="16"/>
      <c r="R360" s="2"/>
    </row>
    <row r="361" ht="15.6" spans="2:18">
      <c r="B361" s="8"/>
      <c r="C361" s="9"/>
      <c r="D361" s="9"/>
      <c r="E361" s="8"/>
      <c r="F361" s="8"/>
      <c r="H361" s="10"/>
      <c r="I361" s="8"/>
      <c r="J361" s="13"/>
      <c r="K361" s="10"/>
      <c r="L361" s="10"/>
      <c r="M361" s="10"/>
      <c r="N361" s="14"/>
      <c r="O361" s="15"/>
      <c r="P361" s="16"/>
      <c r="R361" s="2"/>
    </row>
    <row r="362" ht="15.6" spans="2:18">
      <c r="B362" s="8"/>
      <c r="C362" s="9"/>
      <c r="D362" s="9"/>
      <c r="E362" s="8"/>
      <c r="F362" s="8"/>
      <c r="H362" s="10"/>
      <c r="I362" s="8"/>
      <c r="J362" s="13"/>
      <c r="K362" s="10"/>
      <c r="L362" s="10"/>
      <c r="M362" s="10"/>
      <c r="N362" s="14"/>
      <c r="O362" s="15"/>
      <c r="P362" s="16"/>
      <c r="R362" s="2"/>
    </row>
    <row r="363" ht="15.6" spans="2:18">
      <c r="B363" s="8"/>
      <c r="C363" s="9"/>
      <c r="D363" s="9"/>
      <c r="E363" s="8"/>
      <c r="F363" s="8"/>
      <c r="H363" s="10"/>
      <c r="I363" s="8"/>
      <c r="J363" s="13"/>
      <c r="K363" s="10"/>
      <c r="L363" s="10"/>
      <c r="M363" s="10"/>
      <c r="N363" s="14"/>
      <c r="O363" s="15"/>
      <c r="P363" s="16"/>
      <c r="R363" s="2"/>
    </row>
    <row r="364" ht="15.6" spans="2:18">
      <c r="B364" s="8"/>
      <c r="C364" s="9"/>
      <c r="D364" s="9"/>
      <c r="E364" s="8"/>
      <c r="F364" s="8"/>
      <c r="H364" s="10"/>
      <c r="I364" s="8"/>
      <c r="J364" s="13"/>
      <c r="K364" s="10"/>
      <c r="L364" s="10"/>
      <c r="M364" s="10"/>
      <c r="N364" s="14"/>
      <c r="O364" s="15"/>
      <c r="P364" s="16"/>
      <c r="R364" s="2"/>
    </row>
    <row r="365" ht="15.6" spans="2:18">
      <c r="B365" s="8"/>
      <c r="C365" s="9"/>
      <c r="D365" s="9"/>
      <c r="E365" s="8"/>
      <c r="F365" s="8"/>
      <c r="H365" s="10"/>
      <c r="I365" s="8"/>
      <c r="J365" s="13"/>
      <c r="K365" s="10"/>
      <c r="L365" s="10"/>
      <c r="M365" s="10"/>
      <c r="N365" s="14"/>
      <c r="O365" s="15"/>
      <c r="P365" s="16"/>
      <c r="R365" s="2"/>
    </row>
    <row r="366" ht="15.6" spans="2:18">
      <c r="B366" s="8"/>
      <c r="C366" s="9"/>
      <c r="D366" s="9"/>
      <c r="E366" s="8"/>
      <c r="F366" s="8"/>
      <c r="H366" s="10"/>
      <c r="I366" s="8"/>
      <c r="J366" s="13"/>
      <c r="K366" s="10"/>
      <c r="L366" s="10"/>
      <c r="M366" s="10"/>
      <c r="N366" s="14"/>
      <c r="O366" s="15"/>
      <c r="P366" s="16"/>
      <c r="R366" s="2"/>
    </row>
    <row r="367" ht="15.6" spans="2:22">
      <c r="B367" s="8"/>
      <c r="C367" s="9"/>
      <c r="D367" s="9"/>
      <c r="E367" s="8"/>
      <c r="F367" s="8"/>
      <c r="H367" s="10"/>
      <c r="I367" s="8"/>
      <c r="J367" s="13"/>
      <c r="K367" s="10"/>
      <c r="L367" s="10"/>
      <c r="M367" s="10"/>
      <c r="N367" s="14"/>
      <c r="O367" s="15"/>
      <c r="P367" s="16"/>
      <c r="R367" s="2"/>
      <c r="S367" s="8"/>
      <c r="T367" s="8"/>
      <c r="U367" s="8"/>
      <c r="V367" s="8"/>
    </row>
    <row r="368" ht="15.6" spans="2:18">
      <c r="B368" s="8"/>
      <c r="C368" s="9"/>
      <c r="D368" s="9"/>
      <c r="E368" s="8"/>
      <c r="F368" s="8"/>
      <c r="H368" s="10"/>
      <c r="I368" s="8"/>
      <c r="J368" s="13"/>
      <c r="K368" s="10"/>
      <c r="L368" s="10"/>
      <c r="M368" s="10"/>
      <c r="N368" s="14"/>
      <c r="O368" s="15"/>
      <c r="P368" s="16"/>
      <c r="R368" s="2"/>
    </row>
    <row r="369" ht="15.6" spans="2:18">
      <c r="B369" s="8"/>
      <c r="C369" s="9"/>
      <c r="D369" s="9"/>
      <c r="E369" s="8"/>
      <c r="F369" s="8"/>
      <c r="H369" s="10"/>
      <c r="I369" s="8"/>
      <c r="J369" s="13"/>
      <c r="K369" s="10"/>
      <c r="L369" s="10"/>
      <c r="M369" s="10"/>
      <c r="N369" s="14"/>
      <c r="O369" s="15"/>
      <c r="P369" s="16"/>
      <c r="R369" s="2"/>
    </row>
    <row r="370" ht="15.6" spans="2:18">
      <c r="B370" s="8"/>
      <c r="C370" s="9"/>
      <c r="D370" s="9"/>
      <c r="E370" s="8"/>
      <c r="F370" s="8"/>
      <c r="H370" s="10"/>
      <c r="I370" s="8"/>
      <c r="J370" s="13"/>
      <c r="K370" s="10"/>
      <c r="L370" s="10"/>
      <c r="M370" s="10"/>
      <c r="N370" s="14"/>
      <c r="O370" s="15"/>
      <c r="P370" s="16"/>
      <c r="R370" s="2"/>
    </row>
    <row r="371" ht="15.6" spans="2:18">
      <c r="B371" s="8"/>
      <c r="C371" s="9"/>
      <c r="D371" s="9"/>
      <c r="E371" s="8"/>
      <c r="F371" s="8"/>
      <c r="H371" s="10"/>
      <c r="I371" s="8"/>
      <c r="J371" s="13"/>
      <c r="K371" s="10"/>
      <c r="L371" s="10"/>
      <c r="M371" s="10"/>
      <c r="N371" s="14"/>
      <c r="O371" s="15"/>
      <c r="P371" s="16"/>
      <c r="R371" s="2"/>
    </row>
    <row r="372" ht="15.6" spans="2:18">
      <c r="B372" s="8"/>
      <c r="C372" s="9"/>
      <c r="D372" s="9"/>
      <c r="E372" s="8"/>
      <c r="F372" s="8"/>
      <c r="H372" s="10"/>
      <c r="I372" s="8"/>
      <c r="J372" s="13"/>
      <c r="K372" s="10"/>
      <c r="L372" s="10"/>
      <c r="M372" s="10"/>
      <c r="N372" s="14"/>
      <c r="O372" s="15"/>
      <c r="P372" s="16"/>
      <c r="R372" s="2"/>
    </row>
    <row r="373" ht="15.6" spans="2:18">
      <c r="B373" s="8"/>
      <c r="C373" s="9"/>
      <c r="D373" s="9"/>
      <c r="E373" s="8"/>
      <c r="F373" s="8"/>
      <c r="H373" s="10"/>
      <c r="I373" s="8"/>
      <c r="J373" s="13"/>
      <c r="K373" s="10"/>
      <c r="L373" s="10"/>
      <c r="M373" s="10"/>
      <c r="N373" s="14"/>
      <c r="O373" s="15"/>
      <c r="P373" s="16"/>
      <c r="R373" s="2"/>
    </row>
    <row r="374" ht="15.6" spans="2:18">
      <c r="B374" s="8"/>
      <c r="C374" s="9"/>
      <c r="D374" s="9"/>
      <c r="E374" s="8"/>
      <c r="F374" s="8"/>
      <c r="H374" s="10"/>
      <c r="I374" s="8"/>
      <c r="J374" s="13"/>
      <c r="K374" s="10"/>
      <c r="L374" s="10"/>
      <c r="M374" s="10"/>
      <c r="N374" s="14"/>
      <c r="O374" s="15"/>
      <c r="P374" s="16"/>
      <c r="R374" s="2"/>
    </row>
    <row r="375" ht="15.6" spans="2:18">
      <c r="B375" s="8"/>
      <c r="C375" s="9"/>
      <c r="D375" s="9"/>
      <c r="E375" s="8"/>
      <c r="F375" s="8"/>
      <c r="H375" s="10"/>
      <c r="I375" s="8"/>
      <c r="J375" s="13"/>
      <c r="K375" s="10"/>
      <c r="L375" s="10"/>
      <c r="M375" s="10"/>
      <c r="N375" s="14"/>
      <c r="O375" s="15"/>
      <c r="P375" s="16"/>
      <c r="R375" s="2"/>
    </row>
    <row r="376" ht="15.6" spans="2:18">
      <c r="B376" s="8"/>
      <c r="C376" s="9"/>
      <c r="D376" s="9"/>
      <c r="E376" s="8"/>
      <c r="F376" s="8"/>
      <c r="H376" s="10"/>
      <c r="I376" s="8"/>
      <c r="J376" s="13"/>
      <c r="K376" s="10"/>
      <c r="L376" s="10"/>
      <c r="M376" s="10"/>
      <c r="N376" s="14"/>
      <c r="O376" s="15"/>
      <c r="P376" s="16"/>
      <c r="R376" s="2"/>
    </row>
    <row r="377" ht="15.6" spans="2:18">
      <c r="B377" s="8"/>
      <c r="C377" s="9"/>
      <c r="D377" s="9"/>
      <c r="E377" s="8"/>
      <c r="F377" s="8"/>
      <c r="H377" s="10"/>
      <c r="I377" s="8"/>
      <c r="J377" s="13"/>
      <c r="K377" s="10"/>
      <c r="L377" s="10"/>
      <c r="M377" s="10"/>
      <c r="N377" s="14"/>
      <c r="O377" s="15"/>
      <c r="P377" s="16"/>
      <c r="R377" s="2"/>
    </row>
    <row r="378" ht="15.6" spans="2:22">
      <c r="B378" s="8"/>
      <c r="C378" s="9"/>
      <c r="D378" s="9"/>
      <c r="E378" s="8"/>
      <c r="F378" s="8"/>
      <c r="H378" s="10"/>
      <c r="I378" s="8"/>
      <c r="J378" s="13"/>
      <c r="K378" s="10"/>
      <c r="L378" s="10"/>
      <c r="M378" s="10"/>
      <c r="N378" s="14"/>
      <c r="O378" s="15"/>
      <c r="P378" s="16"/>
      <c r="R378" s="2"/>
      <c r="S378" s="8"/>
      <c r="T378" s="8"/>
      <c r="U378" s="8"/>
      <c r="V378" s="8"/>
    </row>
    <row r="379" ht="15.6" spans="2:18">
      <c r="B379" s="8"/>
      <c r="C379" s="9"/>
      <c r="D379" s="9"/>
      <c r="E379" s="8"/>
      <c r="F379" s="8"/>
      <c r="H379" s="10"/>
      <c r="I379" s="8"/>
      <c r="J379" s="13"/>
      <c r="K379" s="10"/>
      <c r="L379" s="10"/>
      <c r="M379" s="10"/>
      <c r="N379" s="14"/>
      <c r="O379" s="15"/>
      <c r="P379" s="16"/>
      <c r="R379" s="2"/>
    </row>
    <row r="380" ht="15.6" spans="2:18">
      <c r="B380" s="8"/>
      <c r="C380" s="9"/>
      <c r="D380" s="9"/>
      <c r="E380" s="8"/>
      <c r="F380" s="8"/>
      <c r="H380" s="10"/>
      <c r="I380" s="8"/>
      <c r="J380" s="13"/>
      <c r="K380" s="10"/>
      <c r="L380" s="10"/>
      <c r="M380" s="10"/>
      <c r="N380" s="14"/>
      <c r="O380" s="15"/>
      <c r="P380" s="16"/>
      <c r="R380" s="2"/>
    </row>
    <row r="381" ht="15.6" spans="2:18">
      <c r="B381" s="8"/>
      <c r="C381" s="9"/>
      <c r="D381" s="9"/>
      <c r="E381" s="8"/>
      <c r="F381" s="8"/>
      <c r="H381" s="10"/>
      <c r="I381" s="8"/>
      <c r="J381" s="13"/>
      <c r="K381" s="10"/>
      <c r="L381" s="10"/>
      <c r="M381" s="10"/>
      <c r="N381" s="14"/>
      <c r="O381" s="15"/>
      <c r="P381" s="16"/>
      <c r="R381" s="2"/>
    </row>
    <row r="382" ht="15.6" spans="2:18">
      <c r="B382" s="8"/>
      <c r="C382" s="9"/>
      <c r="D382" s="9"/>
      <c r="E382" s="8"/>
      <c r="F382" s="8"/>
      <c r="H382" s="10"/>
      <c r="I382" s="8"/>
      <c r="J382" s="13"/>
      <c r="K382" s="10"/>
      <c r="L382" s="10"/>
      <c r="M382" s="10"/>
      <c r="N382" s="14"/>
      <c r="O382" s="15"/>
      <c r="P382" s="16"/>
      <c r="R382" s="2"/>
    </row>
    <row r="383" ht="15.6" spans="2:18">
      <c r="B383" s="8"/>
      <c r="C383" s="9"/>
      <c r="D383" s="9"/>
      <c r="E383" s="8"/>
      <c r="F383" s="8"/>
      <c r="H383" s="10"/>
      <c r="I383" s="8"/>
      <c r="J383" s="13"/>
      <c r="K383" s="10"/>
      <c r="L383" s="10"/>
      <c r="M383" s="10"/>
      <c r="N383" s="14"/>
      <c r="O383" s="15"/>
      <c r="P383" s="16"/>
      <c r="R383" s="2"/>
    </row>
    <row r="384" ht="15.6" spans="2:18">
      <c r="B384" s="8"/>
      <c r="C384" s="9"/>
      <c r="D384" s="9"/>
      <c r="E384" s="8"/>
      <c r="F384" s="8"/>
      <c r="H384" s="10"/>
      <c r="I384" s="8"/>
      <c r="J384" s="13"/>
      <c r="K384" s="10"/>
      <c r="L384" s="10"/>
      <c r="M384" s="10"/>
      <c r="N384" s="14"/>
      <c r="O384" s="15"/>
      <c r="P384" s="16"/>
      <c r="R384" s="2"/>
    </row>
    <row r="385" ht="15.6" spans="2:18">
      <c r="B385" s="9"/>
      <c r="C385" s="9"/>
      <c r="D385" s="9"/>
      <c r="E385" s="8"/>
      <c r="F385" s="8"/>
      <c r="H385" s="10"/>
      <c r="I385" s="8"/>
      <c r="J385" s="13"/>
      <c r="K385" s="10"/>
      <c r="L385" s="10"/>
      <c r="M385" s="10"/>
      <c r="N385" s="14"/>
      <c r="O385" s="15"/>
      <c r="P385" s="16"/>
      <c r="R385" s="2"/>
    </row>
    <row r="386" ht="15.6" spans="2:18">
      <c r="B386" s="9"/>
      <c r="C386" s="9"/>
      <c r="D386" s="9"/>
      <c r="E386" s="8"/>
      <c r="F386" s="8"/>
      <c r="H386" s="10"/>
      <c r="I386" s="8"/>
      <c r="J386" s="13"/>
      <c r="K386" s="10"/>
      <c r="L386" s="10"/>
      <c r="M386" s="10"/>
      <c r="N386" s="14"/>
      <c r="O386" s="15"/>
      <c r="P386" s="16"/>
      <c r="R386" s="2"/>
    </row>
    <row r="387" ht="15.6" spans="2:18">
      <c r="B387" s="9"/>
      <c r="C387" s="9"/>
      <c r="D387" s="9"/>
      <c r="E387" s="8"/>
      <c r="F387" s="8"/>
      <c r="H387" s="10"/>
      <c r="I387" s="8"/>
      <c r="J387" s="13"/>
      <c r="K387" s="10"/>
      <c r="L387" s="10"/>
      <c r="M387" s="10"/>
      <c r="N387" s="14"/>
      <c r="O387" s="15"/>
      <c r="P387" s="16"/>
      <c r="R387" s="2"/>
    </row>
    <row r="388" ht="15.6" spans="2:18">
      <c r="B388" s="8"/>
      <c r="C388" s="9"/>
      <c r="D388" s="9"/>
      <c r="E388" s="8"/>
      <c r="F388" s="8"/>
      <c r="H388" s="10"/>
      <c r="I388" s="8"/>
      <c r="J388" s="13"/>
      <c r="K388" s="10"/>
      <c r="L388" s="10"/>
      <c r="M388" s="10"/>
      <c r="N388" s="14"/>
      <c r="O388" s="15"/>
      <c r="P388" s="16"/>
      <c r="R388" s="2"/>
    </row>
    <row r="389" ht="15.6" spans="2:22">
      <c r="B389" s="8"/>
      <c r="C389" s="9"/>
      <c r="D389" s="9"/>
      <c r="E389" s="8"/>
      <c r="F389" s="8"/>
      <c r="H389" s="10"/>
      <c r="I389" s="8"/>
      <c r="J389" s="13"/>
      <c r="K389" s="10"/>
      <c r="L389" s="10"/>
      <c r="M389" s="10"/>
      <c r="N389" s="14"/>
      <c r="O389" s="15"/>
      <c r="P389" s="16"/>
      <c r="R389" s="2"/>
      <c r="S389" s="8"/>
      <c r="T389" s="8"/>
      <c r="U389" s="8"/>
      <c r="V389" s="8"/>
    </row>
    <row r="390" ht="15.6" spans="2:18">
      <c r="B390" s="8"/>
      <c r="C390" s="9"/>
      <c r="D390" s="9"/>
      <c r="E390" s="8"/>
      <c r="F390" s="8"/>
      <c r="H390" s="10"/>
      <c r="I390" s="8"/>
      <c r="J390" s="13"/>
      <c r="K390" s="10"/>
      <c r="L390" s="10"/>
      <c r="M390" s="10"/>
      <c r="N390" s="14"/>
      <c r="O390" s="15"/>
      <c r="P390" s="16"/>
      <c r="R390" s="2"/>
    </row>
    <row r="391" ht="15.6" spans="2:18">
      <c r="B391" s="8"/>
      <c r="C391" s="9"/>
      <c r="D391" s="9"/>
      <c r="E391" s="8"/>
      <c r="F391" s="8"/>
      <c r="H391" s="10"/>
      <c r="I391" s="8"/>
      <c r="J391" s="13"/>
      <c r="K391" s="10"/>
      <c r="L391" s="10"/>
      <c r="M391" s="10"/>
      <c r="N391" s="14"/>
      <c r="O391" s="15"/>
      <c r="P391" s="16"/>
      <c r="R391" s="2"/>
    </row>
    <row r="392" ht="15.6" spans="2:18">
      <c r="B392" s="8"/>
      <c r="C392" s="9"/>
      <c r="D392" s="9"/>
      <c r="E392" s="8"/>
      <c r="F392" s="8"/>
      <c r="H392" s="10"/>
      <c r="I392" s="8"/>
      <c r="J392" s="13"/>
      <c r="K392" s="10"/>
      <c r="L392" s="10"/>
      <c r="M392" s="10"/>
      <c r="N392" s="14"/>
      <c r="O392" s="15"/>
      <c r="P392" s="16"/>
      <c r="R392" s="2"/>
    </row>
    <row r="393" ht="15.6" spans="2:18">
      <c r="B393" s="8"/>
      <c r="C393" s="9"/>
      <c r="D393" s="9"/>
      <c r="E393" s="8"/>
      <c r="F393" s="8"/>
      <c r="H393" s="10"/>
      <c r="I393" s="8"/>
      <c r="J393" s="13"/>
      <c r="K393" s="10"/>
      <c r="L393" s="10"/>
      <c r="M393" s="10"/>
      <c r="N393" s="14"/>
      <c r="O393" s="15"/>
      <c r="P393" s="16"/>
      <c r="R393" s="2"/>
    </row>
    <row r="394" ht="15.6" spans="2:18">
      <c r="B394" s="8"/>
      <c r="C394" s="9"/>
      <c r="D394" s="9"/>
      <c r="E394" s="8"/>
      <c r="F394" s="8"/>
      <c r="H394" s="10"/>
      <c r="I394" s="8"/>
      <c r="J394" s="13"/>
      <c r="K394" s="10"/>
      <c r="L394" s="10"/>
      <c r="M394" s="10"/>
      <c r="N394" s="14"/>
      <c r="O394" s="15"/>
      <c r="P394" s="16"/>
      <c r="R394" s="2"/>
    </row>
    <row r="395" ht="15.6" spans="2:18">
      <c r="B395" s="8"/>
      <c r="C395" s="9"/>
      <c r="D395" s="9"/>
      <c r="E395" s="8"/>
      <c r="F395" s="8"/>
      <c r="H395" s="10"/>
      <c r="I395" s="8"/>
      <c r="J395" s="13"/>
      <c r="K395" s="10"/>
      <c r="L395" s="10"/>
      <c r="M395" s="10"/>
      <c r="N395" s="14"/>
      <c r="O395" s="15"/>
      <c r="P395" s="16"/>
      <c r="R395" s="2"/>
    </row>
    <row r="396" ht="15.6" spans="2:18">
      <c r="B396" s="8"/>
      <c r="C396" s="9"/>
      <c r="D396" s="9"/>
      <c r="E396" s="8"/>
      <c r="F396" s="8"/>
      <c r="H396" s="10"/>
      <c r="I396" s="8"/>
      <c r="J396" s="13"/>
      <c r="K396" s="10"/>
      <c r="L396" s="10"/>
      <c r="M396" s="10"/>
      <c r="N396" s="14"/>
      <c r="O396" s="15"/>
      <c r="P396" s="16"/>
      <c r="R396" s="2"/>
    </row>
    <row r="397" ht="15.6" spans="2:18">
      <c r="B397" s="8"/>
      <c r="C397" s="9"/>
      <c r="D397" s="9"/>
      <c r="E397" s="8"/>
      <c r="F397" s="8"/>
      <c r="H397" s="10"/>
      <c r="I397" s="8"/>
      <c r="J397" s="13"/>
      <c r="K397" s="10"/>
      <c r="L397" s="10"/>
      <c r="M397" s="10"/>
      <c r="N397" s="14"/>
      <c r="O397" s="15"/>
      <c r="P397" s="16"/>
      <c r="R397" s="2"/>
    </row>
    <row r="398" ht="15.6" spans="2:18">
      <c r="B398" s="8"/>
      <c r="C398" s="9"/>
      <c r="D398" s="9"/>
      <c r="E398" s="8"/>
      <c r="F398" s="8"/>
      <c r="H398" s="10"/>
      <c r="I398" s="8"/>
      <c r="J398" s="13"/>
      <c r="K398" s="10"/>
      <c r="L398" s="10"/>
      <c r="M398" s="10"/>
      <c r="N398" s="14"/>
      <c r="O398" s="15"/>
      <c r="P398" s="16"/>
      <c r="R398" s="2"/>
    </row>
    <row r="399" ht="15.6" spans="2:18">
      <c r="B399" s="8"/>
      <c r="C399" s="9"/>
      <c r="D399" s="9"/>
      <c r="E399" s="8"/>
      <c r="F399" s="8"/>
      <c r="H399" s="10"/>
      <c r="I399" s="8"/>
      <c r="J399" s="13"/>
      <c r="K399" s="10"/>
      <c r="L399" s="10"/>
      <c r="M399" s="10"/>
      <c r="N399" s="14"/>
      <c r="O399" s="15"/>
      <c r="P399" s="16"/>
      <c r="R399" s="2"/>
    </row>
    <row r="400" ht="15.6" spans="2:22">
      <c r="B400" s="8"/>
      <c r="C400" s="9"/>
      <c r="D400" s="9"/>
      <c r="E400" s="8"/>
      <c r="F400" s="8"/>
      <c r="H400" s="10"/>
      <c r="I400" s="8"/>
      <c r="J400" s="13"/>
      <c r="K400" s="10"/>
      <c r="L400" s="10"/>
      <c r="M400" s="10"/>
      <c r="N400" s="14"/>
      <c r="O400" s="15"/>
      <c r="P400" s="16"/>
      <c r="R400" s="2"/>
      <c r="S400" s="8"/>
      <c r="T400" s="8"/>
      <c r="U400" s="8"/>
      <c r="V400" s="8"/>
    </row>
    <row r="401" ht="15.6" spans="2:18">
      <c r="B401" s="8"/>
      <c r="C401" s="9"/>
      <c r="D401" s="9"/>
      <c r="E401" s="8"/>
      <c r="F401" s="8"/>
      <c r="H401" s="10"/>
      <c r="I401" s="8"/>
      <c r="J401" s="13"/>
      <c r="K401" s="10"/>
      <c r="L401" s="10"/>
      <c r="M401" s="10"/>
      <c r="N401" s="14"/>
      <c r="O401" s="15"/>
      <c r="P401" s="16"/>
      <c r="R401" s="2"/>
    </row>
    <row r="402" ht="15.6" spans="2:18">
      <c r="B402" s="8"/>
      <c r="C402" s="9"/>
      <c r="D402" s="9"/>
      <c r="E402" s="8"/>
      <c r="F402" s="8"/>
      <c r="H402" s="10"/>
      <c r="I402" s="8"/>
      <c r="J402" s="13"/>
      <c r="K402" s="10"/>
      <c r="L402" s="10"/>
      <c r="M402" s="10"/>
      <c r="N402" s="14"/>
      <c r="O402" s="15"/>
      <c r="P402" s="16"/>
      <c r="R402" s="2"/>
    </row>
    <row r="403" ht="15.6" spans="2:18">
      <c r="B403" s="8"/>
      <c r="C403" s="9"/>
      <c r="D403" s="9"/>
      <c r="E403" s="8"/>
      <c r="F403" s="8"/>
      <c r="H403" s="10"/>
      <c r="I403" s="8"/>
      <c r="J403" s="13"/>
      <c r="K403" s="10"/>
      <c r="L403" s="10"/>
      <c r="M403" s="10"/>
      <c r="N403" s="14"/>
      <c r="O403" s="15"/>
      <c r="P403" s="16"/>
      <c r="R403" s="2"/>
    </row>
    <row r="404" ht="15.6" spans="2:18">
      <c r="B404" s="8"/>
      <c r="C404" s="9"/>
      <c r="D404" s="9"/>
      <c r="E404" s="8"/>
      <c r="F404" s="8"/>
      <c r="H404" s="10"/>
      <c r="I404" s="8"/>
      <c r="J404" s="13"/>
      <c r="K404" s="10"/>
      <c r="L404" s="10"/>
      <c r="M404" s="10"/>
      <c r="N404" s="14"/>
      <c r="O404" s="15"/>
      <c r="P404" s="16"/>
      <c r="R404" s="2"/>
    </row>
    <row r="405" ht="15.6" spans="2:18">
      <c r="B405" s="8"/>
      <c r="C405" s="9"/>
      <c r="D405" s="9"/>
      <c r="E405" s="8"/>
      <c r="F405" s="8"/>
      <c r="H405" s="10"/>
      <c r="I405" s="8"/>
      <c r="J405" s="13"/>
      <c r="K405" s="10"/>
      <c r="L405" s="10"/>
      <c r="M405" s="10"/>
      <c r="N405" s="14"/>
      <c r="O405" s="15"/>
      <c r="P405" s="16"/>
      <c r="R405" s="2"/>
    </row>
    <row r="406" ht="15.6" spans="2:18">
      <c r="B406" s="8"/>
      <c r="C406" s="9"/>
      <c r="D406" s="9"/>
      <c r="E406" s="8"/>
      <c r="F406" s="8"/>
      <c r="H406" s="10"/>
      <c r="I406" s="8"/>
      <c r="J406" s="13"/>
      <c r="K406" s="10"/>
      <c r="L406" s="10"/>
      <c r="M406" s="10"/>
      <c r="N406" s="14"/>
      <c r="O406" s="15"/>
      <c r="P406" s="16"/>
      <c r="R406" s="2"/>
    </row>
    <row r="407" ht="15.6" spans="2:18">
      <c r="B407" s="8"/>
      <c r="C407" s="9"/>
      <c r="D407" s="9"/>
      <c r="E407" s="8"/>
      <c r="F407" s="8"/>
      <c r="H407" s="10"/>
      <c r="I407" s="8"/>
      <c r="J407" s="13"/>
      <c r="K407" s="10"/>
      <c r="L407" s="10"/>
      <c r="M407" s="10"/>
      <c r="N407" s="14"/>
      <c r="O407" s="15"/>
      <c r="P407" s="16"/>
      <c r="R407" s="2"/>
    </row>
    <row r="408" ht="15.6" spans="2:18">
      <c r="B408" s="8"/>
      <c r="C408" s="9"/>
      <c r="D408" s="9"/>
      <c r="E408" s="8"/>
      <c r="F408" s="8"/>
      <c r="H408" s="10"/>
      <c r="I408" s="8"/>
      <c r="J408" s="13"/>
      <c r="K408" s="10"/>
      <c r="L408" s="10"/>
      <c r="M408" s="10"/>
      <c r="N408" s="14"/>
      <c r="O408" s="15"/>
      <c r="P408" s="16"/>
      <c r="R408" s="2"/>
    </row>
    <row r="409" ht="15.6" spans="2:18">
      <c r="B409" s="8"/>
      <c r="C409" s="9"/>
      <c r="D409" s="9"/>
      <c r="E409" s="8"/>
      <c r="F409" s="8"/>
      <c r="H409" s="10"/>
      <c r="I409" s="8"/>
      <c r="J409" s="13"/>
      <c r="K409" s="10"/>
      <c r="L409" s="10"/>
      <c r="M409" s="10"/>
      <c r="N409" s="14"/>
      <c r="O409" s="15"/>
      <c r="P409" s="16"/>
      <c r="R409" s="2"/>
    </row>
    <row r="410" ht="15.6" spans="2:18">
      <c r="B410" s="8"/>
      <c r="C410" s="9"/>
      <c r="D410" s="9"/>
      <c r="E410" s="8"/>
      <c r="F410" s="8"/>
      <c r="H410" s="10"/>
      <c r="I410" s="8"/>
      <c r="J410" s="13"/>
      <c r="K410" s="10"/>
      <c r="L410" s="10"/>
      <c r="M410" s="10"/>
      <c r="N410" s="14"/>
      <c r="O410" s="15"/>
      <c r="P410" s="16"/>
      <c r="R410" s="2"/>
    </row>
    <row r="411" ht="15.6" spans="2:22">
      <c r="B411" s="8"/>
      <c r="C411" s="9"/>
      <c r="D411" s="9"/>
      <c r="E411" s="8"/>
      <c r="F411" s="8"/>
      <c r="H411" s="10"/>
      <c r="I411" s="8"/>
      <c r="J411" s="13"/>
      <c r="K411" s="10"/>
      <c r="L411" s="10"/>
      <c r="M411" s="10"/>
      <c r="N411" s="14"/>
      <c r="O411" s="15"/>
      <c r="P411" s="16"/>
      <c r="R411" s="2"/>
      <c r="S411" s="8"/>
      <c r="T411" s="8"/>
      <c r="U411" s="8"/>
      <c r="V411" s="8"/>
    </row>
    <row r="412" ht="15.6" spans="2:18">
      <c r="B412" s="8"/>
      <c r="C412" s="9"/>
      <c r="D412" s="9"/>
      <c r="E412" s="8"/>
      <c r="F412" s="8"/>
      <c r="H412" s="10"/>
      <c r="I412" s="8"/>
      <c r="J412" s="13"/>
      <c r="K412" s="10"/>
      <c r="L412" s="10"/>
      <c r="M412" s="10"/>
      <c r="N412" s="14"/>
      <c r="O412" s="15"/>
      <c r="P412" s="16"/>
      <c r="R412" s="2"/>
    </row>
    <row r="413" ht="15.6" spans="2:18">
      <c r="B413" s="8"/>
      <c r="C413" s="9"/>
      <c r="D413" s="9"/>
      <c r="E413" s="8"/>
      <c r="F413" s="8"/>
      <c r="H413" s="10"/>
      <c r="I413" s="8"/>
      <c r="J413" s="13"/>
      <c r="K413" s="10"/>
      <c r="L413" s="10"/>
      <c r="M413" s="10"/>
      <c r="N413" s="14"/>
      <c r="O413" s="15"/>
      <c r="P413" s="16"/>
      <c r="R413" s="2"/>
    </row>
    <row r="414" ht="15.6" spans="3:18">
      <c r="C414" s="9"/>
      <c r="D414" s="9"/>
      <c r="E414" s="8"/>
      <c r="F414" s="8"/>
      <c r="K414" s="10"/>
      <c r="L414" s="10"/>
      <c r="M414" s="10"/>
      <c r="N414" s="14"/>
      <c r="O414" s="15"/>
      <c r="P414" s="16"/>
      <c r="R414" s="2"/>
    </row>
    <row r="415" ht="15.6" spans="3:18">
      <c r="C415" s="9"/>
      <c r="D415" s="9"/>
      <c r="E415" s="8"/>
      <c r="F415" s="8"/>
      <c r="K415" s="10"/>
      <c r="L415" s="10"/>
      <c r="M415" s="10"/>
      <c r="N415" s="14"/>
      <c r="O415" s="15"/>
      <c r="P415" s="16"/>
      <c r="R415" s="2"/>
    </row>
    <row r="416" ht="15.6" spans="3:18">
      <c r="C416" s="9"/>
      <c r="D416" s="9"/>
      <c r="E416" s="8"/>
      <c r="F416" s="8"/>
      <c r="K416" s="10"/>
      <c r="L416" s="10"/>
      <c r="M416" s="10"/>
      <c r="N416" s="14"/>
      <c r="O416" s="15"/>
      <c r="P416" s="16"/>
      <c r="R416" s="2"/>
    </row>
    <row r="417" ht="15.6" spans="3:22">
      <c r="C417" s="9"/>
      <c r="D417" s="9"/>
      <c r="E417" s="8"/>
      <c r="F417" s="8"/>
      <c r="K417" s="10"/>
      <c r="L417" s="10"/>
      <c r="M417" s="10"/>
      <c r="N417" s="14"/>
      <c r="O417" s="15"/>
      <c r="P417" s="16"/>
      <c r="R417" s="2"/>
      <c r="S417" s="8"/>
      <c r="T417" s="8"/>
      <c r="U417" s="8"/>
      <c r="V417" s="8"/>
    </row>
    <row r="418" ht="15.6" spans="3:18">
      <c r="C418" s="9"/>
      <c r="D418" s="9"/>
      <c r="E418" s="8"/>
      <c r="F418" s="8"/>
      <c r="K418" s="10"/>
      <c r="L418" s="10"/>
      <c r="M418" s="10"/>
      <c r="N418" s="14"/>
      <c r="O418" s="15"/>
      <c r="P418" s="16"/>
      <c r="R418" s="2"/>
    </row>
    <row r="419" ht="15.6" spans="3:18">
      <c r="C419" s="9"/>
      <c r="D419" s="9"/>
      <c r="E419" s="8"/>
      <c r="F419" s="8"/>
      <c r="K419" s="10"/>
      <c r="L419" s="10"/>
      <c r="M419" s="10"/>
      <c r="N419" s="14"/>
      <c r="O419" s="15"/>
      <c r="P419" s="16"/>
      <c r="R419" s="2"/>
    </row>
    <row r="420" ht="15.6" spans="3:18">
      <c r="C420" s="9"/>
      <c r="D420" s="9"/>
      <c r="E420" s="8"/>
      <c r="F420" s="8"/>
      <c r="K420" s="10"/>
      <c r="L420" s="10"/>
      <c r="M420" s="10"/>
      <c r="N420" s="14"/>
      <c r="O420" s="15"/>
      <c r="P420" s="16"/>
      <c r="R420" s="2"/>
    </row>
    <row r="421" ht="15.6" spans="3:18">
      <c r="C421" s="9"/>
      <c r="D421" s="9"/>
      <c r="E421" s="8"/>
      <c r="F421" s="8"/>
      <c r="K421" s="10"/>
      <c r="L421" s="10"/>
      <c r="M421" s="10"/>
      <c r="N421" s="14"/>
      <c r="O421" s="15"/>
      <c r="P421" s="16"/>
      <c r="R421" s="2"/>
    </row>
    <row r="422" ht="15.6" spans="3:18">
      <c r="C422" s="9"/>
      <c r="D422" s="9"/>
      <c r="E422" s="8"/>
      <c r="F422" s="8"/>
      <c r="K422" s="10"/>
      <c r="L422" s="10"/>
      <c r="M422" s="10"/>
      <c r="N422" s="14"/>
      <c r="O422" s="15"/>
      <c r="P422" s="16"/>
      <c r="R422" s="2"/>
    </row>
    <row r="423" ht="15.6" spans="3:18">
      <c r="C423" s="9"/>
      <c r="D423" s="9"/>
      <c r="E423" s="8"/>
      <c r="F423" s="8"/>
      <c r="K423" s="10"/>
      <c r="L423" s="10"/>
      <c r="M423" s="10"/>
      <c r="N423" s="14"/>
      <c r="O423" s="15"/>
      <c r="P423" s="16"/>
      <c r="R423" s="2"/>
    </row>
    <row r="424" ht="15.6" spans="3:18">
      <c r="C424" s="9"/>
      <c r="D424" s="9"/>
      <c r="E424" s="8"/>
      <c r="F424" s="8"/>
      <c r="K424" s="10"/>
      <c r="L424" s="10"/>
      <c r="M424" s="10"/>
      <c r="N424" s="14"/>
      <c r="O424" s="15"/>
      <c r="P424" s="16"/>
      <c r="R424" s="2"/>
    </row>
    <row r="425" ht="15.6" spans="3:18">
      <c r="C425" s="9"/>
      <c r="D425" s="9"/>
      <c r="E425" s="8"/>
      <c r="F425" s="8"/>
      <c r="K425" s="10"/>
      <c r="L425" s="10"/>
      <c r="M425" s="10"/>
      <c r="N425" s="14"/>
      <c r="O425" s="15"/>
      <c r="P425" s="16"/>
      <c r="R425" s="2"/>
    </row>
    <row r="426" ht="15.6" spans="3:18">
      <c r="C426" s="9"/>
      <c r="D426" s="9"/>
      <c r="E426" s="8"/>
      <c r="F426" s="8"/>
      <c r="K426" s="10"/>
      <c r="L426" s="10"/>
      <c r="M426" s="10"/>
      <c r="N426" s="14"/>
      <c r="O426" s="15"/>
      <c r="P426" s="16"/>
      <c r="R426" s="2"/>
    </row>
    <row r="427" ht="15.6" spans="3:18">
      <c r="C427" s="9"/>
      <c r="D427" s="9"/>
      <c r="E427" s="8"/>
      <c r="F427" s="8"/>
      <c r="K427" s="10"/>
      <c r="L427" s="10"/>
      <c r="M427" s="10"/>
      <c r="N427" s="14"/>
      <c r="O427" s="15"/>
      <c r="P427" s="16"/>
      <c r="R427" s="2"/>
    </row>
    <row r="428" ht="15.6" spans="3:22">
      <c r="C428" s="9"/>
      <c r="D428" s="9"/>
      <c r="E428" s="8"/>
      <c r="F428" s="8"/>
      <c r="K428" s="10"/>
      <c r="L428" s="10"/>
      <c r="M428" s="10"/>
      <c r="N428" s="14"/>
      <c r="O428" s="15"/>
      <c r="P428" s="16"/>
      <c r="R428" s="2"/>
      <c r="S428" s="8"/>
      <c r="T428" s="8"/>
      <c r="U428" s="8"/>
      <c r="V428" s="8"/>
    </row>
    <row r="429" ht="15.6" spans="3:18">
      <c r="C429" s="9"/>
      <c r="D429" s="9"/>
      <c r="E429" s="8"/>
      <c r="F429" s="8"/>
      <c r="K429" s="10"/>
      <c r="L429" s="10"/>
      <c r="M429" s="10"/>
      <c r="N429" s="14"/>
      <c r="O429" s="15"/>
      <c r="P429" s="16"/>
      <c r="R429" s="2"/>
    </row>
    <row r="430" ht="15.6" spans="3:18">
      <c r="C430" s="9"/>
      <c r="D430" s="9"/>
      <c r="E430" s="8"/>
      <c r="F430" s="8"/>
      <c r="K430" s="10"/>
      <c r="L430" s="10"/>
      <c r="M430" s="10"/>
      <c r="N430" s="14"/>
      <c r="O430" s="15"/>
      <c r="P430" s="16"/>
      <c r="R430" s="2"/>
    </row>
    <row r="431" ht="15.6" spans="3:18">
      <c r="C431" s="9"/>
      <c r="D431" s="9"/>
      <c r="E431" s="8"/>
      <c r="F431" s="8"/>
      <c r="K431" s="10"/>
      <c r="L431" s="10"/>
      <c r="M431" s="10"/>
      <c r="N431" s="14"/>
      <c r="O431" s="15"/>
      <c r="P431" s="16"/>
      <c r="R431" s="2"/>
    </row>
    <row r="432" ht="15.6" spans="3:18">
      <c r="C432" s="9"/>
      <c r="D432" s="9"/>
      <c r="E432" s="8"/>
      <c r="F432" s="8"/>
      <c r="K432" s="10"/>
      <c r="L432" s="10"/>
      <c r="M432" s="10"/>
      <c r="N432" s="14"/>
      <c r="O432" s="15"/>
      <c r="P432" s="16"/>
      <c r="R432" s="2"/>
    </row>
    <row r="433" ht="15.6" spans="3:18">
      <c r="C433" s="9"/>
      <c r="D433" s="9"/>
      <c r="E433" s="8"/>
      <c r="F433" s="8"/>
      <c r="K433" s="10"/>
      <c r="L433" s="10"/>
      <c r="M433" s="10"/>
      <c r="N433" s="14"/>
      <c r="O433" s="15"/>
      <c r="P433" s="16"/>
      <c r="R433" s="2"/>
    </row>
    <row r="434" ht="15.6" spans="3:18">
      <c r="C434" s="9"/>
      <c r="D434" s="9"/>
      <c r="E434" s="8"/>
      <c r="F434" s="8"/>
      <c r="K434" s="10"/>
      <c r="L434" s="10"/>
      <c r="M434" s="10"/>
      <c r="N434" s="14"/>
      <c r="O434" s="15"/>
      <c r="P434" s="16"/>
      <c r="R434" s="2"/>
    </row>
    <row r="435" ht="15.6" spans="3:18">
      <c r="C435" s="9"/>
      <c r="D435" s="9"/>
      <c r="E435" s="8"/>
      <c r="F435" s="8"/>
      <c r="K435" s="10"/>
      <c r="L435" s="10"/>
      <c r="M435" s="10"/>
      <c r="N435" s="14"/>
      <c r="O435" s="15"/>
      <c r="P435" s="16"/>
      <c r="R435" s="2"/>
    </row>
    <row r="436" ht="15.6" spans="3:18">
      <c r="C436" s="9"/>
      <c r="D436" s="9"/>
      <c r="E436" s="8"/>
      <c r="F436" s="8"/>
      <c r="K436" s="10"/>
      <c r="L436" s="10"/>
      <c r="M436" s="10"/>
      <c r="N436" s="14"/>
      <c r="O436" s="15"/>
      <c r="P436" s="16"/>
      <c r="R436" s="2"/>
    </row>
    <row r="437" ht="15.6" spans="3:18">
      <c r="C437" s="9"/>
      <c r="D437" s="9"/>
      <c r="E437" s="8"/>
      <c r="F437" s="8"/>
      <c r="K437" s="10"/>
      <c r="L437" s="10"/>
      <c r="M437" s="10"/>
      <c r="N437" s="14"/>
      <c r="O437" s="15"/>
      <c r="P437" s="16"/>
      <c r="R437" s="2"/>
    </row>
    <row r="438" ht="15.6" spans="3:18">
      <c r="C438" s="9"/>
      <c r="D438" s="9"/>
      <c r="E438" s="8"/>
      <c r="F438" s="8"/>
      <c r="K438" s="10"/>
      <c r="L438" s="10"/>
      <c r="M438" s="10"/>
      <c r="N438" s="14"/>
      <c r="O438" s="15"/>
      <c r="P438" s="16"/>
      <c r="R438" s="2"/>
    </row>
    <row r="439" ht="15.6" spans="3:22">
      <c r="C439" s="9"/>
      <c r="D439" s="9"/>
      <c r="E439" s="8"/>
      <c r="F439" s="8"/>
      <c r="K439" s="10"/>
      <c r="L439" s="10"/>
      <c r="M439" s="10"/>
      <c r="N439" s="14"/>
      <c r="O439" s="15"/>
      <c r="P439" s="16"/>
      <c r="R439" s="2"/>
      <c r="S439" s="8"/>
      <c r="T439" s="8"/>
      <c r="U439" s="8"/>
      <c r="V439" s="8"/>
    </row>
    <row r="440" ht="15.6" spans="3:18">
      <c r="C440" s="9"/>
      <c r="D440" s="9"/>
      <c r="E440" s="8"/>
      <c r="F440" s="8"/>
      <c r="K440" s="10"/>
      <c r="L440" s="10"/>
      <c r="M440" s="10"/>
      <c r="N440" s="14"/>
      <c r="O440" s="15"/>
      <c r="P440" s="16"/>
      <c r="R440" s="2"/>
    </row>
    <row r="441" ht="15.6" spans="3:18">
      <c r="C441" s="9"/>
      <c r="D441" s="9"/>
      <c r="E441" s="8"/>
      <c r="F441" s="8"/>
      <c r="K441" s="10"/>
      <c r="L441" s="10"/>
      <c r="M441" s="10"/>
      <c r="N441" s="14"/>
      <c r="O441" s="15"/>
      <c r="P441" s="16"/>
      <c r="R441" s="2"/>
    </row>
    <row r="442" ht="15.6" spans="3:18">
      <c r="C442" s="9"/>
      <c r="D442" s="9"/>
      <c r="E442" s="8"/>
      <c r="F442" s="8"/>
      <c r="K442" s="10"/>
      <c r="L442" s="10"/>
      <c r="M442" s="10"/>
      <c r="N442" s="14"/>
      <c r="O442" s="15"/>
      <c r="P442" s="16"/>
      <c r="R442" s="2"/>
    </row>
    <row r="443" ht="15.6" spans="3:18">
      <c r="C443" s="9"/>
      <c r="D443" s="9"/>
      <c r="E443" s="8"/>
      <c r="F443" s="8"/>
      <c r="K443" s="10"/>
      <c r="L443" s="10"/>
      <c r="M443" s="10"/>
      <c r="N443" s="14"/>
      <c r="O443" s="15"/>
      <c r="P443" s="16"/>
      <c r="R443" s="2"/>
    </row>
    <row r="444" ht="15.6" spans="3:18">
      <c r="C444" s="9"/>
      <c r="D444" s="9"/>
      <c r="E444" s="8"/>
      <c r="F444" s="8"/>
      <c r="K444" s="10"/>
      <c r="L444" s="10"/>
      <c r="M444" s="10"/>
      <c r="N444" s="14"/>
      <c r="O444" s="15"/>
      <c r="P444" s="16"/>
      <c r="R444" s="2"/>
    </row>
    <row r="445" ht="15.6" spans="3:18">
      <c r="C445" s="9"/>
      <c r="D445" s="9"/>
      <c r="E445" s="8"/>
      <c r="F445" s="8"/>
      <c r="K445" s="10"/>
      <c r="L445" s="10"/>
      <c r="M445" s="10"/>
      <c r="N445" s="14"/>
      <c r="O445" s="15"/>
      <c r="P445" s="16"/>
      <c r="R445" s="2"/>
    </row>
    <row r="446" ht="15.6" spans="3:18">
      <c r="C446" s="9"/>
      <c r="D446" s="9"/>
      <c r="E446" s="8"/>
      <c r="F446" s="8"/>
      <c r="K446" s="10"/>
      <c r="L446" s="10"/>
      <c r="M446" s="10"/>
      <c r="N446" s="14"/>
      <c r="O446" s="15"/>
      <c r="P446" s="16"/>
      <c r="R446" s="2"/>
    </row>
    <row r="447" ht="15.6" spans="3:18">
      <c r="C447" s="9"/>
      <c r="D447" s="9"/>
      <c r="E447" s="8"/>
      <c r="F447" s="8"/>
      <c r="K447" s="10"/>
      <c r="L447" s="10"/>
      <c r="M447" s="10"/>
      <c r="N447" s="14"/>
      <c r="O447" s="15"/>
      <c r="P447" s="16"/>
      <c r="R447" s="2"/>
    </row>
    <row r="448" ht="15.6" spans="3:18">
      <c r="C448" s="9"/>
      <c r="D448" s="9"/>
      <c r="E448" s="8"/>
      <c r="F448" s="8"/>
      <c r="K448" s="10"/>
      <c r="L448" s="10"/>
      <c r="M448" s="10"/>
      <c r="N448" s="14"/>
      <c r="O448" s="15"/>
      <c r="P448" s="16"/>
      <c r="R448" s="2"/>
    </row>
  </sheetData>
  <autoFilter xmlns:etc="http://www.wps.cn/officeDocument/2017/etCustomData" ref="A1:AA448" etc:filterBottomFollowUsedRange="0">
    <extLst/>
  </autoFilter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Srinivash U</cp:lastModifiedBy>
  <dcterms:created xsi:type="dcterms:W3CDTF">2025-06-28T11:49:00Z</dcterms:created>
  <dcterms:modified xsi:type="dcterms:W3CDTF">2025-11-06T11:29:22Z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AEC4BD8ABF3C41BD8BD534E020A62B3C_13</vt:lpwstr>
  </property>
  <property fmtid="{D5CDD505-2E9C-101B-9397-08002B2CF9AE}" pid="3" name="KSOProductBuildVer">
    <vt:lpwstr>2057-12.2.0.22556</vt:lpwstr>
  </property>
</Properties>
</file>